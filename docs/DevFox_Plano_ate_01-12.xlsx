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Tarefas" sheetId="2" state="visible" r:id="rId4"/>
    <sheet name="Cronograma" sheetId="3" state="visible" r:id="rId5"/>
    <sheet name="Concluído" sheetId="4" state="visible" r:id="rId6"/>
  </sheets>
  <definedNames>
    <definedName function="false" hidden="false" localSheetId="1" name="_xlnm.Print_Titles" vbProcedure="false">Tarefas!$4:$4</definedName>
    <definedName function="false" hidden="true" localSheetId="1" name="_xlnm._FilterDatabase" vbProcedure="false">Tarefas!$A$4:$N$34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Segunda-feira em que o plano começa. Mude aqui e todas as semanas se ajustam.</t>
        </r>
      </text>
    </comment>
    <comment ref="C5" authorId="0">
      <text>
        <r>
          <rPr>
            <sz val="10"/>
            <rFont val="Arial"/>
            <family val="2"/>
          </rPr>
          <t xml:space="preserve">Informada por Murilo em 19/09/2026.</t>
        </r>
      </text>
    </comment>
  </commentList>
</comments>
</file>

<file path=xl/sharedStrings.xml><?xml version="1.0" encoding="utf-8"?>
<sst xmlns="http://schemas.openxmlformats.org/spreadsheetml/2006/main" count="419" uniqueCount="262">
  <si>
    <t xml:space="preserve">DevFox — Painel de acompanhamento</t>
  </si>
  <si>
    <t xml:space="preserve">Atualiza sozinho a partir das abas Tarefas e Cronograma. Não precisa editar nada aqui.</t>
  </si>
  <si>
    <t xml:space="preserve">PRAZO</t>
  </si>
  <si>
    <t xml:space="preserve">PROGRESSO</t>
  </si>
  <si>
    <t xml:space="preserve">Entrega</t>
  </si>
  <si>
    <t xml:space="preserve">Tarefas no plano</t>
  </si>
  <si>
    <t xml:space="preserve">Hoje</t>
  </si>
  <si>
    <t xml:space="preserve">Concluídas</t>
  </si>
  <si>
    <t xml:space="preserve">Dias restantes</t>
  </si>
  <si>
    <t xml:space="preserve">% concluído</t>
  </si>
  <si>
    <t xml:space="preserve">Semanas restantes</t>
  </si>
  <si>
    <t xml:space="preserve">Horas restantes (estimativa)</t>
  </si>
  <si>
    <t xml:space="preserve">Semana atual do plano</t>
  </si>
  <si>
    <t xml:space="preserve">Horas por semana até a entrega</t>
  </si>
  <si>
    <t xml:space="preserve">POR STATUS</t>
  </si>
  <si>
    <t xml:space="preserve">PENDENTES POR PRIORIDADE</t>
  </si>
  <si>
    <t xml:space="preserve">A fazer</t>
  </si>
  <si>
    <t xml:space="preserve">Crítica</t>
  </si>
  <si>
    <t xml:space="preserve">Em andamento</t>
  </si>
  <si>
    <t xml:space="preserve">Alta</t>
  </si>
  <si>
    <t xml:space="preserve">Concluído</t>
  </si>
  <si>
    <t xml:space="preserve">Média</t>
  </si>
  <si>
    <t xml:space="preserve">Bloqueado</t>
  </si>
  <si>
    <t xml:space="preserve">Baixa</t>
  </si>
  <si>
    <t xml:space="preserve">Com o colega</t>
  </si>
  <si>
    <t xml:space="preserve">⚠ Se "Crítica" não for 0 no fim da semana 1, o plano já começou atrasado.</t>
  </si>
  <si>
    <t xml:space="preserve">O QUE A ANÁLISE DE 21/09 ENCONTROU</t>
  </si>
  <si>
    <t xml:space="preserve">• Loja entregue em 21/09 — o banco precisa ir para a v5.</t>
  </si>
  <si>
    <t xml:space="preserve">Sem reimportar banco.sql (ou rodar migracao_v4_para_v5.sql), toda página logada quebra com "Unknown column u.moldura_id".</t>
  </si>
  <si>
    <t xml:space="preserve">• A confirmação com o orientador está parada há 3 semanas.</t>
  </si>
  <si>
    <t xml:space="preserve">É conversa de 10 minutos e é a única coisa que pode invalidar o plano inteiro. → T04</t>
  </si>
  <si>
    <t xml:space="preserve">• Sobra tempo — e isso é uma oportunidade, não folga.</t>
  </si>
  <si>
    <t xml:space="preserve">O código que falta cabe em 3 semanas. As outras 7 permitem o que a maioria dos TCCs não tem: teste com usuários reais, que vira a seção de resultados. → T18</t>
  </si>
  <si>
    <t xml:space="preserve">• Todos os itens do menu e do topo funcionam.</t>
  </si>
  <si>
    <t xml:space="preserve">Início, Desafios, Configurações e o sino entraram em 21/09. Nenhum elemento clicável leva a lugar nenhum.</t>
  </si>
  <si>
    <t xml:space="preserve">COMO USAR</t>
  </si>
  <si>
    <t xml:space="preserve">1. Aba Tarefas: atualize Status, Responsável, Semana e Observações (cabeçalho laranja). O resto é o plano.</t>
  </si>
  <si>
    <t xml:space="preserve">2. Mudou uma tarefa de semana? Troque o número na coluna Semana — Início e Fim se ajustam sozinhos.</t>
  </si>
  <si>
    <t xml:space="preserve">3. Aba Cronograma: mostra a carga de cada semana e se ela está atrasada. Só a data de início (C4) é editável.</t>
  </si>
  <si>
    <t xml:space="preserve">4. Aba Concluído: o que já foi entregue, com onde está a evidência no repositório. Serve de roteiro para a monografia.</t>
  </si>
  <si>
    <t xml:space="preserve">DevFox — o que falta até a entrega de 01/12/2026</t>
  </si>
  <si>
    <t xml:space="preserve">Colunas com cabeçalho LARANJA são as que o time preenche: Status, Responsável, Semana e Observações. As demais são o plano. Início e Fim vêm do Cronograma — mude a Semana e as datas acompanham.</t>
  </si>
  <si>
    <t xml:space="preserve">ID</t>
  </si>
  <si>
    <t xml:space="preserve">Frente</t>
  </si>
  <si>
    <t xml:space="preserve">Tarefa</t>
  </si>
  <si>
    <t xml:space="preserve">Por que importa</t>
  </si>
  <si>
    <t xml:space="preserve">Prioridade</t>
  </si>
  <si>
    <t xml:space="preserve">Status</t>
  </si>
  <si>
    <t xml:space="preserve">Responsável</t>
  </si>
  <si>
    <t xml:space="preserve">Esforço (h)</t>
  </si>
  <si>
    <t xml:space="preserve">Origem</t>
  </si>
  <si>
    <t xml:space="preserve">Semana</t>
  </si>
  <si>
    <t xml:space="preserve">Início</t>
  </si>
  <si>
    <t xml:space="preserve">Fim</t>
  </si>
  <si>
    <t xml:space="preserve">Critério de pronto</t>
  </si>
  <si>
    <t xml:space="preserve">Observações</t>
  </si>
  <si>
    <t xml:space="preserve">T01</t>
  </si>
  <si>
    <t xml:space="preserve">Infraestrutura</t>
  </si>
  <si>
    <t xml:space="preserve">Commitar a Administração (DEV-9) e o CSRF (DEV-13)</t>
  </si>
  <si>
    <t xml:space="preserve">Está no disco desde 19/09 01:35, mas o último commit é de 01:20. É o maior pedaço de trabalho do projeto SEM backup — um HD que falhe hoje leva junto.</t>
  </si>
  <si>
    <t xml:space="preserve">Murilo</t>
  </si>
  <si>
    <t xml:space="preserve">Análise 21/09</t>
  </si>
  <si>
    <t xml:space="preserve">"git status" limpo e o commit aparece no GitHub.</t>
  </si>
  <si>
    <t xml:space="preserve">T02</t>
  </si>
  <si>
    <t xml:space="preserve">Apagar diagnostico.php e o arquivo vazio "v3" da pasta</t>
  </si>
  <si>
    <t xml:space="preserve">O diagnostico.php expõe a estrutura do banco — ferramenta de desenvolvimento que não pode chegar à produção. O "v3" (0 bytes, criado 19/09 00:11) é resto de comando.</t>
  </si>
  <si>
    <t xml:space="preserve">Nenhum dos dois arquivos existe; "git status" não os lista.</t>
  </si>
  <si>
    <t xml:space="preserve">T03</t>
  </si>
  <si>
    <t xml:space="preserve">Conferir que o banco local está no schema v4</t>
  </si>
  <si>
    <t xml:space="preserve">As conquistas (DEV-12) dependem da tabela dicas_vistas. Sem ela, abrir uma dica quebra a tela.</t>
  </si>
  <si>
    <t xml:space="preserve">"SHOW TABLES LIKE 'dicas_vistas'" retorna 1 linha. Se não retornar, reimportar banco.sql pelo cmd.</t>
  </si>
  <si>
    <t xml:space="preserve">T04</t>
  </si>
  <si>
    <t xml:space="preserve">Validação</t>
  </si>
  <si>
    <t xml:space="preserve">Confirmar a stack com o orientador (DEV-4)</t>
  </si>
  <si>
    <t xml:space="preserve">Pendente desde 29/08 — há mais de 3 semanas. Se ele esperar framework ou outra stack, descobrir em novembro é tarde demais para mudar.</t>
  </si>
  <si>
    <t xml:space="preserve">Backlog</t>
  </si>
  <si>
    <t xml:space="preserve">Resposta do orientador registrada no AI_HANDOFF.md.</t>
  </si>
  <si>
    <t xml:space="preserve">T05</t>
  </si>
  <si>
    <t xml:space="preserve">Adicionar os colegas como colaboradores no GitHub (resto do DEV-2)</t>
  </si>
  <si>
    <t xml:space="preserve">O repositório é privado e só você tem acesso. Quem escreve a documentação precisa ler o código.</t>
  </si>
  <si>
    <t xml:space="preserve">Cada colega consegue fazer "git clone".</t>
  </si>
  <si>
    <t xml:space="preserve">T06</t>
  </si>
  <si>
    <t xml:space="preserve">Rodar o sistema na máquina de cada colega (DEV-1)</t>
  </si>
  <si>
    <t xml:space="preserve">Até hoje só rodou na sua. Se só funciona num computador, a apresentação depende de um único aparelho.</t>
  </si>
  <si>
    <t xml:space="preserve">Time</t>
  </si>
  <si>
    <t xml:space="preserve">Cada integrante abre localhost/DevFox, faz login e conclui uma atividade.</t>
  </si>
  <si>
    <t xml:space="preserve">T07</t>
  </si>
  <si>
    <t xml:space="preserve">Definir quem faz o quê até a entrega (DEV-5)</t>
  </si>
  <si>
    <t xml:space="preserve">A documentação já tem dono. O resto (testes com usuários, slides, ensaio) ainda não.</t>
  </si>
  <si>
    <t xml:space="preserve">Coluna "Responsável" desta planilha preenchida por completo.</t>
  </si>
  <si>
    <t xml:space="preserve">T08</t>
  </si>
  <si>
    <t xml:space="preserve">Segurança</t>
  </si>
  <si>
    <t xml:space="preserve">CSRF nos formulários fora da Administração</t>
  </si>
  <si>
    <t xml:space="preserve">O DEV-13 cobriu só a Administração. Login, cadastro, prova e as APIs de desafio e dica ainda aceitam POST forjado.</t>
  </si>
  <si>
    <t xml:space="preserve">POST sem token recusado com 403 em todas as telas; teste automatizado cobrindo.</t>
  </si>
  <si>
    <t xml:space="preserve">T09</t>
  </si>
  <si>
    <t xml:space="preserve">Auditoria de XSS e SQL injection, arquivo por arquivo (DEV-14)</t>
  </si>
  <si>
    <t xml:space="preserve">É a pergunta técnica mais provável da banca. O código usa prepared statements e escape de saída, mas os arquivos herdados do protótipo nunca foram auditados um a um.</t>
  </si>
  <si>
    <t xml:space="preserve">Cadastrar usuário com nome &lt;script&gt;alert(1)&lt;/script&gt; não executa nada em nenhuma tela; nenhuma query concatena entrada do usuário.</t>
  </si>
  <si>
    <t xml:space="preserve">T10</t>
  </si>
  <si>
    <t xml:space="preserve">Limitar tentativas de login (DEV-16)</t>
  </si>
  <si>
    <t xml:space="preserve">Sem limite, dá para testar senhas indefinidamente. Baixo risco num TCC, mas é pergunta clássica de banca.</t>
  </si>
  <si>
    <t xml:space="preserve">Após 5 tentativas erradas, o login fica bloqueado por alguns minutos.</t>
  </si>
  <si>
    <t xml:space="preserve">T11</t>
  </si>
  <si>
    <t xml:space="preserve">Qualidade</t>
  </si>
  <si>
    <t xml:space="preserve">Decidir o destino da "Loja" e do sino de notificações</t>
  </si>
  <si>
    <t xml:space="preserve">LOJA FEITA em 21/09 (loja mínima, só cosméticos, schema v5). SINO FEITO em 21/09: painel com eventos reais e ponto só quando há novidade.</t>
  </si>
  <si>
    <t xml:space="preserve">Nenhum elemento clicável da interface leva a lugar nenhum.</t>
  </si>
  <si>
    <t xml:space="preserve">T12</t>
  </si>
  <si>
    <t xml:space="preserve">Deploy</t>
  </si>
  <si>
    <t xml:space="preserve">Escolher a hospedagem (DEV-17)</t>
  </si>
  <si>
    <t xml:space="preserve">Precisa de PHP + MySQL — Vercel e Netlify NÃO servem. Opções: hospedagem compartilhada, Railway, Render, InfinityFree.</t>
  </si>
  <si>
    <t xml:space="preserve">Hospedagem escolhida, conta criada e acessível ao time.</t>
  </si>
  <si>
    <t xml:space="preserve">T13</t>
  </si>
  <si>
    <t xml:space="preserve">Preparar o projeto para produção</t>
  </si>
  <si>
    <t xml:space="preserve">Configurações de desenvolvimento no ar viram brecha: senha no código, erro do PHP mostrando caminho de arquivo, pasta de testes acessível.</t>
  </si>
  <si>
    <t xml:space="preserve">Credenciais por variável de ambiente; display_errors desligado; /tools, /testes, /docs e *.md bloqueados; contas @devfox.local com senha nova ou removidas.</t>
  </si>
  <si>
    <t xml:space="preserve">T14</t>
  </si>
  <si>
    <t xml:space="preserve">Publicar numa URL pública (DEV-18)</t>
  </si>
  <si>
    <t xml:space="preserve">Sem isso o orientador não consegue abrir o sistema, e a apresentação depende da sua máquina.</t>
  </si>
  <si>
    <t xml:space="preserve">Sistema acessível por URL; roteiro do COMO_RODAR.md percorrido no ambiente publicado.</t>
  </si>
  <si>
    <t xml:space="preserve">T15</t>
  </si>
  <si>
    <t xml:space="preserve">Mandar o link publicado ao orientador</t>
  </si>
  <si>
    <t xml:space="preserve">Fecha o DEV-4 com o sistema na mão dele, não só a descrição. Feedback em outubro dá tempo de corrigir.</t>
  </si>
  <si>
    <t xml:space="preserve">Orientador acessou e respondeu.</t>
  </si>
  <si>
    <t xml:space="preserve">T16</t>
  </si>
  <si>
    <t xml:space="preserve">Testar em celular e tablet reais (DEV-15)</t>
  </si>
  <si>
    <t xml:space="preserve">Toda a responsividade foi validada só no simulador do navegador. Toque, teclado virtual e o editor de código se comportam diferente num aparelho de verdade.</t>
  </si>
  <si>
    <t xml:space="preserve">Todas as telas usáveis em 360px; editor de código funciona com teclado virtual.</t>
  </si>
  <si>
    <t xml:space="preserve">T17</t>
  </si>
  <si>
    <t xml:space="preserve">Rodar as 5 suítes de teste automatizado numa máquina do time</t>
  </si>
  <si>
    <t xml:space="preserve">Hoje só rodaram no ambiente de desenvolvimento. "Temos testes" vale muito mais na banca se o time souber rodá-los na frente de alguém.</t>
  </si>
  <si>
    <t xml:space="preserve">teste-worker, teste-prova, teste-conquistas, teste-admin e validar_conteudo passando na máquina de alguém do grupo.</t>
  </si>
  <si>
    <t xml:space="preserve">T18</t>
  </si>
  <si>
    <t xml:space="preserve">Teste com 5 a 10 usuários reais iniciantes</t>
  </si>
  <si>
    <t xml:space="preserve">A tese do TCC é reduzir a desistência de iniciantes — sem ninguém usando, isso é opinião. Mesmo um teste pequeno (colegas de outra turma) vira a seção de RESULTADOS da monografia.</t>
  </si>
  <si>
    <t xml:space="preserve">Pelo menos 5 pessoas usaram por 20 min; anotado onde travaram, o que acharam e quanto avançaram.</t>
  </si>
  <si>
    <t xml:space="preserve">T19</t>
  </si>
  <si>
    <t xml:space="preserve">Corrigir o que o teste com usuários revelar</t>
  </si>
  <si>
    <t xml:space="preserve">É a razão de testar cedo: sobra tempo para agir sobre o que aparecer.</t>
  </si>
  <si>
    <t xml:space="preserve">Cada problema achado no T18 resolvido ou registrado como limitação conhecida.</t>
  </si>
  <si>
    <t xml:space="preserve">T20</t>
  </si>
  <si>
    <t xml:space="preserve">Revisão humana das 63 atividades</t>
  </si>
  <si>
    <t xml:space="preserve">O validador confere que o gabarito bate com a solução — não confere se o enunciado está claro ou se a dica ajuda. O PERFIL.md exige revisão humana de todo conteúdo gerado com apoio de IA.</t>
  </si>
  <si>
    <t xml:space="preserve">Cada atividade lida por um humano; correções feitas pela Administração.</t>
  </si>
  <si>
    <t xml:space="preserve">T21</t>
  </si>
  <si>
    <t xml:space="preserve">Documentação</t>
  </si>
  <si>
    <t xml:space="preserve">Passar o material técnico para quem escreve a documentação</t>
  </si>
  <si>
    <t xml:space="preserve">Quase tudo já existe no repositório (PERFIL, database/README, AI_HANDOFF, tools/README), mas espalhado. Uma conversa de 1 hora economiza dias de escrita no escuro.</t>
  </si>
  <si>
    <t xml:space="preserve">Colega sabe onde está cada decisão técnica e tem o diagrama do banco.</t>
  </si>
  <si>
    <t xml:space="preserve">T22</t>
  </si>
  <si>
    <t xml:space="preserve">Documentação escrita do TCC (DEV-19)</t>
  </si>
  <si>
    <t xml:space="preserve">Responsabilidade de outro integrante do grupo. Aqui só para acompanhamento.</t>
  </si>
  <si>
    <t xml:space="preserve">Colega (documentação)</t>
  </si>
  <si>
    <t xml:space="preserve">Documento cobrindo problema, solução, decisões técnicas, resultados e trabalhos futuros.</t>
  </si>
  <si>
    <t xml:space="preserve">T23</t>
  </si>
  <si>
    <t xml:space="preserve">Atualizar o backlog do Jira</t>
  </si>
  <si>
    <t xml:space="preserve">O backlog-jira.md ainda fala em "painel do professor" e lista como pendente o que já foi entregue. Documento desatualizado confunde quem chega depois.</t>
  </si>
  <si>
    <t xml:space="preserve">Backlog reflete o estado real; itens concluídos marcados como Done.</t>
  </si>
  <si>
    <t xml:space="preserve">T24</t>
  </si>
  <si>
    <t xml:space="preserve">Apresentação</t>
  </si>
  <si>
    <t xml:space="preserve">Slides da apresentação (DEV-20)</t>
  </si>
  <si>
    <t xml:space="preserve">Sem slides não há defesa.</t>
  </si>
  <si>
    <t xml:space="preserve">Slides prontos cobrindo problema, solução, arquitetura, demonstração e resultados.</t>
  </si>
  <si>
    <t xml:space="preserve">T25</t>
  </si>
  <si>
    <t xml:space="preserve">Roteiro da demonstração ao vivo</t>
  </si>
  <si>
    <t xml:space="preserve">Improvisar na frente da banca é onde as coisas quebram. Os momentos mais fortes: o laço infinito sendo interrompido e o caso oculto barrando a resposta chumbada.</t>
  </si>
  <si>
    <t xml:space="preserve">Roteiro escrito: qual conta, qual trilha, qual desafio, em que ordem e o que falar em cada passo.</t>
  </si>
  <si>
    <t xml:space="preserve">T26</t>
  </si>
  <si>
    <t xml:space="preserve">Preparar respostas às perguntas prováveis da banca</t>
  </si>
  <si>
    <t xml:space="preserve">Por que PHP sem framework? Como a correção funciona se o código roda no navegador? Como o XP é protegido contra fraude? Todas têm boa resposta — mas precisam estar na ponta da língua.</t>
  </si>
  <si>
    <t xml:space="preserve">Lista de perguntas com resposta curta combinada entre o grupo.</t>
  </si>
  <si>
    <t xml:space="preserve">T27</t>
  </si>
  <si>
    <t xml:space="preserve">Plano B: demonstração offline</t>
  </si>
  <si>
    <t xml:space="preserve">Se a internet da sala falhar, o sistema publicado não abre. Com o XAMPP num notebook, a demonstração acontece mesmo assim — foi por isso que o editor de código foi embutido no projeto em vez de vir de CDN.</t>
  </si>
  <si>
    <t xml:space="preserve">Sistema completo rodando num notebook sem internet, testado com o Wi-Fi desligado.</t>
  </si>
  <si>
    <t xml:space="preserve">T28</t>
  </si>
  <si>
    <t xml:space="preserve">Ensaio completo, cronometrado, no ambiente publicado</t>
  </si>
  <si>
    <t xml:space="preserve">A primeira vez que a apresentação acontece não pode ser na banca.</t>
  </si>
  <si>
    <t xml:space="preserve">Dois ensaios completos dentro do tempo, com alguém de fora fazendo perguntas.</t>
  </si>
  <si>
    <t xml:space="preserve">T29</t>
  </si>
  <si>
    <t xml:space="preserve">Congelar a versão da entrega (tag v1.0 no Git)</t>
  </si>
  <si>
    <t xml:space="preserve">Garante que dá para voltar exatamente ao que foi apresentado, mesmo que alguém mexa depois.</t>
  </si>
  <si>
    <t xml:space="preserve">"git tag v1.0" criada e enviada ao GitHub.</t>
  </si>
  <si>
    <t xml:space="preserve">T30</t>
  </si>
  <si>
    <t xml:space="preserve">Semana de folga — nenhuma tarefa nova (DEV-21)</t>
  </si>
  <si>
    <t xml:space="preserve">É onde cabem os imprevistos que sempre aparecem. Planejar a última semana cheia é planejar atrasar.</t>
  </si>
  <si>
    <t xml:space="preserve">Nenhuma tarefa nova começada depois de 22/11.</t>
  </si>
  <si>
    <t xml:space="preserve">Esforço em horas é estimativa inicial, para dar ordem de grandeza. Origem "Análise 21/09" = item que não estava no backlog e entrou na revisão de 21/09/2026.</t>
  </si>
  <si>
    <t xml:space="preserve">Cronograma — 10 semanas até a entrega</t>
  </si>
  <si>
    <t xml:space="preserve">A data de início (C4) é o único valor fixo: todas as outras datas são calculadas a partir dela.</t>
  </si>
  <si>
    <t xml:space="preserve">Início do plano</t>
  </si>
  <si>
    <t xml:space="preserve">Foco da semana</t>
  </si>
  <si>
    <t xml:space="preserve">Tarefas</t>
  </si>
  <si>
    <t xml:space="preserve">Horas planejadas</t>
  </si>
  <si>
    <t xml:space="preserve">Situação</t>
  </si>
  <si>
    <t xml:space="preserve">Fechar pendências e destravar o time</t>
  </si>
  <si>
    <t xml:space="preserve">Publicar online</t>
  </si>
  <si>
    <t xml:space="preserve">Validar em aparelho real</t>
  </si>
  <si>
    <t xml:space="preserve">Teste com usuários reais</t>
  </si>
  <si>
    <t xml:space="preserve">Corrigir o que o teste revelar + revisão de conteúdo</t>
  </si>
  <si>
    <t xml:space="preserve">Folga de desenvolvimento / apoio à documentação</t>
  </si>
  <si>
    <t xml:space="preserve">Slides e roteiro da demonstração</t>
  </si>
  <si>
    <t xml:space="preserve">Ensaios e plano B</t>
  </si>
  <si>
    <t xml:space="preserve">Folga — nenhuma tarefa nova</t>
  </si>
  <si>
    <t xml:space="preserve">Total</t>
  </si>
  <si>
    <t xml:space="preserve">O que já foi entregue</t>
  </si>
  <si>
    <t xml:space="preserve">Útil para a seção de desenvolvimento da monografia — cada linha aponta onde está a evidência no repositório.</t>
  </si>
  <si>
    <t xml:space="preserve">Data</t>
  </si>
  <si>
    <t xml:space="preserve">Área</t>
  </si>
  <si>
    <t xml:space="preserve">Onde está</t>
  </si>
  <si>
    <t xml:space="preserve">Escopo do MVP definido e fase 2 cortada</t>
  </si>
  <si>
    <t xml:space="preserve">Decisão</t>
  </si>
  <si>
    <t xml:space="preserve">PERFIL.md §4</t>
  </si>
  <si>
    <t xml:space="preserve">Stack decidida: PHP 8 + MySQL, sem framework</t>
  </si>
  <si>
    <t xml:space="preserve">PERFIL.md §7</t>
  </si>
  <si>
    <t xml:space="preserve">Correção dos bugs do protótipo herdado (farm de XP duplo, correção por substring, funções inexistentes, logout, autopromoção a professor, acentuação)</t>
  </si>
  <si>
    <t xml:space="preserve">Bug</t>
  </si>
  <si>
    <t xml:space="preserve">AI_HANDOFF.md</t>
  </si>
  <si>
    <t xml:space="preserve">Schema v2 do banco com migração</t>
  </si>
  <si>
    <t xml:space="preserve">Banco</t>
  </si>
  <si>
    <t xml:space="preserve">database/migracao_v1_para_v2.sql</t>
  </si>
  <si>
    <t xml:space="preserve">DEV-6 — código do aluno executado em Web Worker, correção no servidor</t>
  </si>
  <si>
    <t xml:space="preserve">Motor</t>
  </si>
  <si>
    <t xml:space="preserve">assets/js/executor.worker.js</t>
  </si>
  <si>
    <t xml:space="preserve">DEV-8 — resultado por caso de teste, sem revelar o caso oculto</t>
  </si>
  <si>
    <t xml:space="preserve">assets/js/desafios.js</t>
  </si>
  <si>
    <t xml:space="preserve">Schema v3: provas de fim de nível e progressão sequencial</t>
  </si>
  <si>
    <t xml:space="preserve">database/migracao_v2_para_v3.sql</t>
  </si>
  <si>
    <t xml:space="preserve">Front refeito seguindo os wireframes, com a logo</t>
  </si>
  <si>
    <t xml:space="preserve">Interface</t>
  </si>
  <si>
    <t xml:space="preserve">assets/css/styles.css</t>
  </si>
  <si>
    <t xml:space="preserve">DEV-2 — repositório Git privado no GitHub</t>
  </si>
  <si>
    <t xml:space="preserve">Infra</t>
  </si>
  <si>
    <t xml:space="preserve">github.com/martinsmurilo619-ship-it/devfox</t>
  </si>
  <si>
    <t xml:space="preserve">DEV-3 — data da entrega definida: 01/12/2026</t>
  </si>
  <si>
    <t xml:space="preserve">DEV-10/11 — 3 trilhas completas: 15 módulos, 63 atividades, 104 casos de teste</t>
  </si>
  <si>
    <t xml:space="preserve">Conteúdo</t>
  </si>
  <si>
    <t xml:space="preserve">tools/conteudo.py</t>
  </si>
  <si>
    <t xml:space="preserve">Validador de conteúdo: roda a solução de cada exercício contra os próprios casos</t>
  </si>
  <si>
    <t xml:space="preserve">tools/validar_conteudo.js</t>
  </si>
  <si>
    <t xml:space="preserve">DEV-7 — editor CodeMirror com destaque de sintaxe, servido localmente</t>
  </si>
  <si>
    <t xml:space="preserve">assets/vendor/codemirror/</t>
  </si>
  <si>
    <t xml:space="preserve">DEV-12 — desbloqueio das 6 conquistas + schema v4</t>
  </si>
  <si>
    <t xml:space="preserve">Gamificação</t>
  </si>
  <si>
    <t xml:space="preserve">includes/conquistas.php</t>
  </si>
  <si>
    <t xml:space="preserve">DEV-9 — Administração completa com conferência de gabarito</t>
  </si>
  <si>
    <t xml:space="preserve">Administração</t>
  </si>
  <si>
    <t xml:space="preserve">admin_*.php  (⚠ ainda sem commit — ver T01)</t>
  </si>
  <si>
    <t xml:space="preserve">DEV-13 — proteção CSRF na Administração</t>
  </si>
  <si>
    <t xml:space="preserve">includes/csrf.php  (⚠ ainda sem commit — ver T01)</t>
  </si>
  <si>
    <t xml:space="preserve">5 suítes de teste automatizado (Playwright)</t>
  </si>
  <si>
    <t xml:space="preserve">testes/</t>
  </si>
  <si>
    <t xml:space="preserve">Administração (DEV-9) e CSRF (DEV-13) commitados; diagnostico.php removido</t>
  </si>
  <si>
    <t xml:space="preserve">commit 83222c4</t>
  </si>
  <si>
    <t xml:space="preserve">Loja mínima: moedas derivadas do XP, 9 itens cosméticos, compra atômica (FOR UPDATE), schema v5</t>
  </si>
  <si>
    <t xml:space="preserve">Funcionalidade</t>
  </si>
  <si>
    <t xml:space="preserve">loja.php, includes/loja.php, testes/teste-loja.js</t>
  </si>
  <si>
    <t xml:space="preserve">Tela Início (wireframe), Desafios com bloqueio, Configurações (nome/senha) e sino de notificações</t>
  </si>
  <si>
    <t xml:space="preserve">inicio.php, desafios.php, configuracoes.php, includes/progresso.php, testes/teste-inicio.js</t>
  </si>
  <si>
    <t xml:space="preserve">Login e cadastro com ilustração de fundo; versão nos assets contra cache</t>
  </si>
  <si>
    <t xml:space="preserve">login.php, cadastro.php, includes/ui.php (asset())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</si>
</sst>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General"/>
    <numFmt numFmtId="167" formatCode="0"/>
    <numFmt numFmtId="168" formatCode="0%"/>
    <numFmt numFmtId="169" formatCode="0.0"/>
    <numFmt numFmtId="170" formatCode="0.0#"/>
    <numFmt numFmtId="171" formatCode="dd/mm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D26"/>
      <name val="Arial"/>
      <family val="0"/>
      <charset val="1"/>
    </font>
    <font>
      <i val="true"/>
      <sz val="9"/>
      <color rgb="FF5B6475"/>
      <name val="Arial"/>
      <family val="0"/>
      <charset val="1"/>
    </font>
    <font>
      <b val="true"/>
      <sz val="11"/>
      <color rgb="FFFF6B0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A1D26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2"/>
      <color rgb="FFFF6B00"/>
      <name val="Arial"/>
      <family val="0"/>
      <charset val="1"/>
    </font>
    <font>
      <i val="true"/>
      <sz val="9"/>
      <color rgb="FFB42318"/>
      <name val="Arial"/>
      <family val="0"/>
      <charset val="1"/>
    </font>
    <font>
      <sz val="10"/>
      <color rgb="FF5B6475"/>
      <name val="Arial"/>
      <family val="0"/>
      <charset val="1"/>
    </font>
    <font>
      <b val="true"/>
      <sz val="14"/>
      <color rgb="FF1A1D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B5470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D26"/>
        <bgColor rgb="FF222222"/>
      </patternFill>
    </fill>
    <fill>
      <patternFill patternType="solid">
        <fgColor rgb="FFFF6B00"/>
        <bgColor rgb="FFFF9900"/>
      </patternFill>
    </fill>
    <fill>
      <patternFill patternType="solid">
        <fgColor rgb="FFFFF4E6"/>
        <bgColor rgb="FFFEF0C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E0"/>
      </bottom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A1D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98A2B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4E6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B54708"/>
          <bgColor rgb="FF000000"/>
        </patternFill>
      </fill>
    </dxf>
    <dxf>
      <fill>
        <patternFill patternType="solid">
          <fgColor rgb="FFDCFAE6"/>
          <bgColor rgb="FF000000"/>
        </patternFill>
      </fill>
    </dxf>
    <dxf>
      <fill>
        <patternFill patternType="solid">
          <fgColor rgb="FFE0EAFF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FF6B00"/>
          <bgColor rgb="FF000000"/>
        </patternFill>
      </fill>
    </dxf>
    <dxf>
      <fill>
        <patternFill patternType="solid">
          <fgColor rgb="FF067647"/>
          <bgColor rgb="FF000000"/>
        </patternFill>
      </fill>
    </dxf>
    <dxf>
      <fill>
        <patternFill patternType="solid">
          <fgColor rgb="FF3538CD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ont>
        <name val="Arial"/>
        <charset val="1"/>
        <family val="0"/>
        <b val="1"/>
        <color rgb="FF067647"/>
      </font>
      <fill>
        <patternFill>
          <bgColor rgb="FFDCFAE6"/>
        </patternFill>
      </fill>
    </dxf>
    <dxf>
      <font>
        <name val="Arial"/>
        <charset val="1"/>
        <family val="0"/>
        <b val="1"/>
        <color rgb="FFB54708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3538CD"/>
      </font>
      <fill>
        <patternFill>
          <bgColor rgb="FFE0EAFF"/>
        </patternFill>
      </fill>
    </dxf>
    <dxf>
      <font>
        <name val="Arial"/>
        <charset val="1"/>
        <family val="0"/>
        <b val="1"/>
        <color rgb="FFB54708"/>
      </font>
      <fill>
        <patternFill>
          <bgColor rgb="FFFFF4E6"/>
        </patternFill>
      </fill>
    </dxf>
    <dxf>
      <font>
        <name val="Arial"/>
        <charset val="1"/>
        <family val="0"/>
        <color rgb="FF98A2B3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7647"/>
      <rgbColor rgb="FFC0C0C0"/>
      <rgbColor rgb="FF4A5266"/>
      <rgbColor rgb="FF9999FF"/>
      <rgbColor rgb="FFB54708"/>
      <rgbColor rgb="FFFEF0C7"/>
      <rgbColor rgb="FFDCFAE6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AFF"/>
      <rgbColor rgb="FFCCFFCC"/>
      <rgbColor rgb="FFFFF4E6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B00"/>
      <rgbColor rgb="FF5B6475"/>
      <rgbColor rgb="FF98A2B3"/>
      <rgbColor rgb="FF003366"/>
      <rgbColor rgb="FF12B76A"/>
      <rgbColor rgb="FF003300"/>
      <rgbColor rgb="FF1A1D26"/>
      <rgbColor rgb="FFB42318"/>
      <rgbColor rgb="FF993366"/>
      <rgbColor rgb="FF3538CD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D26"/>
    <pageSetUpPr fitToPage="tru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Cronograma!$C$5</f>
        <v>46357</v>
      </c>
      <c r="D5" s="4" t="s">
        <v>5</v>
      </c>
      <c r="E5" s="6" t="n">
        <f aca="false">COUNTA(Tarefas!$A$5:$A$34)</f>
        <v>30</v>
      </c>
    </row>
    <row r="6" customFormat="false" ht="15" hidden="false" customHeight="false" outlineLevel="0" collapsed="false">
      <c r="A6" s="4" t="s">
        <v>6</v>
      </c>
      <c r="B6" s="5" t="n">
        <f aca="true">TODAY()</f>
        <v>46286</v>
      </c>
      <c r="D6" s="4" t="s">
        <v>7</v>
      </c>
      <c r="E6" s="6" t="n">
        <f aca="false">COUNTIF(Tarefas!$F$5:$F$34,"Concluído")</f>
        <v>4</v>
      </c>
    </row>
    <row r="7" customFormat="false" ht="15" hidden="false" customHeight="false" outlineLevel="0" collapsed="false">
      <c r="A7" s="7" t="s">
        <v>8</v>
      </c>
      <c r="B7" s="8" t="n">
        <f aca="true">MAX(0,Cronograma!$C$5-TODAY())</f>
        <v>71</v>
      </c>
      <c r="D7" s="7" t="s">
        <v>9</v>
      </c>
      <c r="E7" s="9" t="n">
        <f aca="false">IFERROR(E6/E5,0)</f>
        <v>0.133333333333333</v>
      </c>
    </row>
    <row r="8" customFormat="false" ht="15" hidden="false" customHeight="false" outlineLevel="0" collapsed="false">
      <c r="A8" s="4" t="s">
        <v>10</v>
      </c>
      <c r="B8" s="10" t="n">
        <f aca="true">MAX(0,(Cronograma!$C$5-TODAY())/7)</f>
        <v>10.1428571428571</v>
      </c>
      <c r="D8" s="4" t="s">
        <v>11</v>
      </c>
      <c r="E8" s="10" t="n">
        <f aca="false">SUMIF(Tarefas!$F$5:$F$34,"&lt;&gt;Concluído",Tarefas!$H$5:$H$34)</f>
        <v>57.25</v>
      </c>
    </row>
    <row r="9" customFormat="false" ht="15" hidden="false" customHeight="false" outlineLevel="0" collapsed="false">
      <c r="A9" s="4" t="s">
        <v>12</v>
      </c>
      <c r="B9" s="6" t="n">
        <f aca="true">IF(TODAY()&lt;Cronograma!$C$4,"antes do início",IF(TODAY()&gt;Cronograma!$C$17,"reta final",INT((TODAY()-Cronograma!$C$4)/7)+1))</f>
        <v>1</v>
      </c>
      <c r="D9" s="4" t="s">
        <v>13</v>
      </c>
      <c r="E9" s="10" t="n">
        <f aca="false">IFERROR(E8/MAX(1,B8),0)</f>
        <v>5.6443661971831</v>
      </c>
    </row>
    <row r="12" customFormat="false" ht="15" hidden="false" customHeight="false" outlineLevel="0" collapsed="false">
      <c r="A12" s="3" t="s">
        <v>14</v>
      </c>
      <c r="D12" s="3" t="s">
        <v>15</v>
      </c>
    </row>
    <row r="13" customFormat="false" ht="15" hidden="false" customHeight="false" outlineLevel="0" collapsed="false">
      <c r="A13" s="4" t="s">
        <v>16</v>
      </c>
      <c r="B13" s="6" t="n">
        <f aca="false">COUNTIF(Tarefas!$F$5:$F$34,"A fazer")</f>
        <v>23</v>
      </c>
      <c r="D13" s="4" t="s">
        <v>17</v>
      </c>
      <c r="E13" s="6" t="n">
        <f aca="false">COUNTIFS(Tarefas!$E$5:$E$34,"Crítica",Tarefas!$F$5:$F$34,"&lt;&gt;Concluído")</f>
        <v>1</v>
      </c>
    </row>
    <row r="14" customFormat="false" ht="15" hidden="false" customHeight="false" outlineLevel="0" collapsed="false">
      <c r="A14" s="4" t="s">
        <v>18</v>
      </c>
      <c r="B14" s="6" t="n">
        <f aca="false">COUNTIF(Tarefas!$F$5:$F$34,"Em andamento")</f>
        <v>2</v>
      </c>
      <c r="D14" s="4" t="s">
        <v>19</v>
      </c>
      <c r="E14" s="6" t="n">
        <f aca="false">COUNTIFS(Tarefas!$E$5:$E$34,"Alta",Tarefas!$F$5:$F$34,"&lt;&gt;Concluído")</f>
        <v>17</v>
      </c>
    </row>
    <row r="15" customFormat="false" ht="15" hidden="false" customHeight="false" outlineLevel="0" collapsed="false">
      <c r="A15" s="4" t="s">
        <v>20</v>
      </c>
      <c r="B15" s="6" t="n">
        <f aca="false">COUNTIF(Tarefas!$F$5:$F$34,"Concluído")</f>
        <v>4</v>
      </c>
      <c r="D15" s="4" t="s">
        <v>21</v>
      </c>
      <c r="E15" s="6" t="n">
        <f aca="false">COUNTIFS(Tarefas!$E$5:$E$34,"Média",Tarefas!$F$5:$F$34,"&lt;&gt;Concluído")</f>
        <v>7</v>
      </c>
    </row>
    <row r="16" customFormat="false" ht="15" hidden="false" customHeight="false" outlineLevel="0" collapsed="false">
      <c r="A16" s="4" t="s">
        <v>22</v>
      </c>
      <c r="B16" s="6" t="n">
        <f aca="false">COUNTIF(Tarefas!$F$5:$F$34,"Bloqueado")</f>
        <v>0</v>
      </c>
      <c r="D16" s="4" t="s">
        <v>23</v>
      </c>
      <c r="E16" s="6" t="n">
        <f aca="false">COUNTIFS(Tarefas!$E$5:$E$34,"Baixa",Tarefas!$F$5:$F$34,"&lt;&gt;Concluído")</f>
        <v>1</v>
      </c>
    </row>
    <row r="17" customFormat="false" ht="15" hidden="false" customHeight="false" outlineLevel="0" collapsed="false">
      <c r="A17" s="4" t="s">
        <v>24</v>
      </c>
      <c r="B17" s="6" t="n">
        <f aca="false">COUNTIF(Tarefas!$F$5:$F$34,"Com o colega")</f>
        <v>1</v>
      </c>
      <c r="D17" s="11" t="s">
        <v>25</v>
      </c>
      <c r="E17" s="11"/>
      <c r="F17" s="11"/>
      <c r="G17" s="11"/>
    </row>
    <row r="20" customFormat="false" ht="15" hidden="false" customHeight="false" outlineLevel="0" collapsed="false">
      <c r="A20" s="3" t="s">
        <v>26</v>
      </c>
    </row>
    <row r="21" customFormat="false" ht="15" hidden="false" customHeight="false" outlineLevel="0" collapsed="false">
      <c r="A21" s="12" t="s">
        <v>27</v>
      </c>
      <c r="B21" s="12"/>
      <c r="C21" s="12"/>
      <c r="D21" s="12"/>
      <c r="E21" s="12"/>
      <c r="F21" s="12"/>
      <c r="G21" s="12"/>
    </row>
    <row r="22" customFormat="false" ht="15.75" hidden="false" customHeight="true" outlineLevel="0" collapsed="false">
      <c r="A22" s="13" t="s">
        <v>28</v>
      </c>
      <c r="B22" s="13"/>
      <c r="C22" s="13"/>
      <c r="D22" s="13"/>
      <c r="E22" s="13"/>
      <c r="F22" s="13"/>
      <c r="G22" s="13"/>
    </row>
    <row r="24" customFormat="false" ht="15" hidden="false" customHeight="false" outlineLevel="0" collapsed="false">
      <c r="A24" s="12" t="s">
        <v>29</v>
      </c>
      <c r="B24" s="12"/>
      <c r="C24" s="12"/>
      <c r="D24" s="12"/>
      <c r="E24" s="12"/>
      <c r="F24" s="12"/>
      <c r="G24" s="12"/>
    </row>
    <row r="25" customFormat="false" ht="15.75" hidden="false" customHeight="true" outlineLevel="0" collapsed="false">
      <c r="A25" s="13" t="s">
        <v>30</v>
      </c>
      <c r="B25" s="13"/>
      <c r="C25" s="13"/>
      <c r="D25" s="13"/>
      <c r="E25" s="13"/>
      <c r="F25" s="13"/>
      <c r="G25" s="13"/>
    </row>
    <row r="27" customFormat="false" ht="15" hidden="false" customHeight="false" outlineLevel="0" collapsed="false">
      <c r="A27" s="12" t="s">
        <v>31</v>
      </c>
      <c r="B27" s="12"/>
      <c r="C27" s="12"/>
      <c r="D27" s="12"/>
      <c r="E27" s="12"/>
      <c r="F27" s="12"/>
      <c r="G27" s="12"/>
    </row>
    <row r="28" customFormat="false" ht="15.75" hidden="false" customHeight="true" outlineLevel="0" collapsed="false">
      <c r="A28" s="13" t="s">
        <v>32</v>
      </c>
      <c r="B28" s="13"/>
      <c r="C28" s="13"/>
      <c r="D28" s="13"/>
      <c r="E28" s="13"/>
      <c r="F28" s="13"/>
      <c r="G28" s="13"/>
    </row>
    <row r="30" customFormat="false" ht="15" hidden="false" customHeight="false" outlineLevel="0" collapsed="false">
      <c r="A30" s="12" t="s">
        <v>33</v>
      </c>
      <c r="B30" s="12"/>
      <c r="C30" s="12"/>
      <c r="D30" s="12"/>
      <c r="E30" s="12"/>
      <c r="F30" s="12"/>
      <c r="G30" s="12"/>
    </row>
    <row r="31" customFormat="false" ht="15.75" hidden="false" customHeight="true" outlineLevel="0" collapsed="false">
      <c r="A31" s="13" t="s">
        <v>34</v>
      </c>
      <c r="B31" s="13"/>
      <c r="C31" s="13"/>
      <c r="D31" s="13"/>
      <c r="E31" s="13"/>
      <c r="F31" s="13"/>
      <c r="G31" s="13"/>
    </row>
    <row r="33" customFormat="false" ht="15" hidden="false" customHeight="false" outlineLevel="0" collapsed="false">
      <c r="A33" s="3" t="s">
        <v>35</v>
      </c>
    </row>
    <row r="34" customFormat="false" ht="15" hidden="false" customHeight="false" outlineLevel="0" collapsed="false">
      <c r="A34" s="14" t="s">
        <v>36</v>
      </c>
      <c r="B34" s="14"/>
      <c r="C34" s="14"/>
      <c r="D34" s="14"/>
      <c r="E34" s="14"/>
      <c r="F34" s="14"/>
      <c r="G34" s="14"/>
    </row>
    <row r="35" customFormat="false" ht="15" hidden="false" customHeight="false" outlineLevel="0" collapsed="false">
      <c r="A35" s="14" t="s">
        <v>37</v>
      </c>
      <c r="B35" s="14"/>
      <c r="C35" s="14"/>
      <c r="D35" s="14"/>
      <c r="E35" s="14"/>
      <c r="F35" s="14"/>
      <c r="G35" s="14"/>
    </row>
    <row r="36" customFormat="false" ht="15" hidden="false" customHeight="false" outlineLevel="0" collapsed="false">
      <c r="A36" s="14" t="s">
        <v>38</v>
      </c>
      <c r="B36" s="14"/>
      <c r="C36" s="14"/>
      <c r="D36" s="14"/>
      <c r="E36" s="14"/>
      <c r="F36" s="14"/>
      <c r="G36" s="14"/>
    </row>
    <row r="37" customFormat="false" ht="15" hidden="false" customHeight="false" outlineLevel="0" collapsed="false">
      <c r="A37" s="14" t="s">
        <v>39</v>
      </c>
      <c r="B37" s="14"/>
      <c r="C37" s="14"/>
      <c r="D37" s="14"/>
      <c r="E37" s="14"/>
      <c r="F37" s="14"/>
      <c r="G37" s="14"/>
    </row>
  </sheetData>
  <mergeCells count="13">
    <mergeCell ref="D17:G17"/>
    <mergeCell ref="A21:G21"/>
    <mergeCell ref="A22:G22"/>
    <mergeCell ref="A24:G24"/>
    <mergeCell ref="A25:G25"/>
    <mergeCell ref="A27:G27"/>
    <mergeCell ref="A28:G28"/>
    <mergeCell ref="A30:G30"/>
    <mergeCell ref="A31:G31"/>
    <mergeCell ref="A34:G34"/>
    <mergeCell ref="A35:G35"/>
    <mergeCell ref="A36:G36"/>
    <mergeCell ref="A37:G37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00"/>
    <pageSetUpPr fitToPage="true"/>
  </sheetPr>
  <dimension ref="A1: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5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46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5" t="s">
        <v>40</v>
      </c>
    </row>
    <row r="2" customFormat="false" ht="27.75" hidden="false" customHeight="true" outlineLevel="0" collapsed="false">
      <c r="A2" s="16" t="s">
        <v>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customFormat="false" ht="30" hidden="false" customHeight="true" outlineLevel="0" collapsed="false">
      <c r="A4" s="17" t="s">
        <v>42</v>
      </c>
      <c r="B4" s="17" t="s">
        <v>43</v>
      </c>
      <c r="C4" s="17" t="s">
        <v>44</v>
      </c>
      <c r="D4" s="17" t="s">
        <v>45</v>
      </c>
      <c r="E4" s="17" t="s">
        <v>46</v>
      </c>
      <c r="F4" s="18" t="s">
        <v>47</v>
      </c>
      <c r="G4" s="18" t="s">
        <v>48</v>
      </c>
      <c r="H4" s="17" t="s">
        <v>49</v>
      </c>
      <c r="I4" s="17" t="s">
        <v>50</v>
      </c>
      <c r="J4" s="18" t="s">
        <v>51</v>
      </c>
      <c r="K4" s="17" t="s">
        <v>52</v>
      </c>
      <c r="L4" s="17" t="s">
        <v>53</v>
      </c>
      <c r="M4" s="17" t="s">
        <v>54</v>
      </c>
      <c r="N4" s="18" t="s">
        <v>55</v>
      </c>
    </row>
    <row r="5" customFormat="false" ht="61.5" hidden="false" customHeight="true" outlineLevel="0" collapsed="false">
      <c r="A5" s="19" t="s">
        <v>56</v>
      </c>
      <c r="B5" s="19" t="s">
        <v>57</v>
      </c>
      <c r="C5" s="20" t="s">
        <v>58</v>
      </c>
      <c r="D5" s="21" t="s">
        <v>59</v>
      </c>
      <c r="E5" s="19" t="s">
        <v>17</v>
      </c>
      <c r="F5" s="22" t="s">
        <v>20</v>
      </c>
      <c r="G5" s="22" t="s">
        <v>60</v>
      </c>
      <c r="H5" s="23" t="n">
        <v>0.25</v>
      </c>
      <c r="I5" s="19" t="s">
        <v>61</v>
      </c>
      <c r="J5" s="22" t="n">
        <v>1</v>
      </c>
      <c r="K5" s="24" t="n">
        <f aca="false">IFERROR(INDEX(Cronograma!$B$8:$B$17,MATCH(J5,Cronograma!$A$8:$A$17,0)),"")</f>
        <v>46286</v>
      </c>
      <c r="L5" s="24" t="n">
        <f aca="false">IFERROR(INDEX(Cronograma!$C$8:$C$17,MATCH(J5,Cronograma!$A$8:$A$17,0)),"")</f>
        <v>46292</v>
      </c>
      <c r="M5" s="21" t="s">
        <v>62</v>
      </c>
      <c r="N5" s="25"/>
    </row>
    <row r="6" customFormat="false" ht="61.5" hidden="false" customHeight="true" outlineLevel="0" collapsed="false">
      <c r="A6" s="19" t="s">
        <v>63</v>
      </c>
      <c r="B6" s="19" t="s">
        <v>57</v>
      </c>
      <c r="C6" s="20" t="s">
        <v>64</v>
      </c>
      <c r="D6" s="21" t="s">
        <v>65</v>
      </c>
      <c r="E6" s="19" t="s">
        <v>19</v>
      </c>
      <c r="F6" s="22" t="s">
        <v>20</v>
      </c>
      <c r="G6" s="22" t="s">
        <v>60</v>
      </c>
      <c r="H6" s="23" t="n">
        <v>0.1</v>
      </c>
      <c r="I6" s="19" t="s">
        <v>61</v>
      </c>
      <c r="J6" s="22" t="n">
        <v>1</v>
      </c>
      <c r="K6" s="24" t="n">
        <f aca="false">IFERROR(INDEX(Cronograma!$B$8:$B$17,MATCH(J6,Cronograma!$A$8:$A$17,0)),"")</f>
        <v>46286</v>
      </c>
      <c r="L6" s="24" t="n">
        <f aca="false">IFERROR(INDEX(Cronograma!$C$8:$C$17,MATCH(J6,Cronograma!$A$8:$A$17,0)),"")</f>
        <v>46292</v>
      </c>
      <c r="M6" s="21" t="s">
        <v>66</v>
      </c>
      <c r="N6" s="25"/>
    </row>
    <row r="7" customFormat="false" ht="61.5" hidden="false" customHeight="true" outlineLevel="0" collapsed="false">
      <c r="A7" s="19" t="s">
        <v>67</v>
      </c>
      <c r="B7" s="19" t="s">
        <v>57</v>
      </c>
      <c r="C7" s="20" t="s">
        <v>68</v>
      </c>
      <c r="D7" s="21" t="s">
        <v>69</v>
      </c>
      <c r="E7" s="19" t="s">
        <v>19</v>
      </c>
      <c r="F7" s="22" t="s">
        <v>20</v>
      </c>
      <c r="G7" s="22" t="s">
        <v>60</v>
      </c>
      <c r="H7" s="23" t="n">
        <v>0.25</v>
      </c>
      <c r="I7" s="19" t="s">
        <v>61</v>
      </c>
      <c r="J7" s="22" t="n">
        <v>1</v>
      </c>
      <c r="K7" s="24" t="n">
        <f aca="false">IFERROR(INDEX(Cronograma!$B$8:$B$17,MATCH(J7,Cronograma!$A$8:$A$17,0)),"")</f>
        <v>46286</v>
      </c>
      <c r="L7" s="24" t="n">
        <f aca="false">IFERROR(INDEX(Cronograma!$C$8:$C$17,MATCH(J7,Cronograma!$A$8:$A$17,0)),"")</f>
        <v>46292</v>
      </c>
      <c r="M7" s="21" t="s">
        <v>70</v>
      </c>
      <c r="N7" s="25"/>
    </row>
    <row r="8" customFormat="false" ht="61.5" hidden="false" customHeight="true" outlineLevel="0" collapsed="false">
      <c r="A8" s="19" t="s">
        <v>71</v>
      </c>
      <c r="B8" s="19" t="s">
        <v>72</v>
      </c>
      <c r="C8" s="20" t="s">
        <v>73</v>
      </c>
      <c r="D8" s="21" t="s">
        <v>74</v>
      </c>
      <c r="E8" s="19" t="s">
        <v>17</v>
      </c>
      <c r="F8" s="22" t="s">
        <v>16</v>
      </c>
      <c r="G8" s="22" t="s">
        <v>60</v>
      </c>
      <c r="H8" s="23" t="n">
        <v>0.5</v>
      </c>
      <c r="I8" s="19" t="s">
        <v>75</v>
      </c>
      <c r="J8" s="22" t="n">
        <v>1</v>
      </c>
      <c r="K8" s="24" t="n">
        <f aca="false">IFERROR(INDEX(Cronograma!$B$8:$B$17,MATCH(J8,Cronograma!$A$8:$A$17,0)),"")</f>
        <v>46286</v>
      </c>
      <c r="L8" s="24" t="n">
        <f aca="false">IFERROR(INDEX(Cronograma!$C$8:$C$17,MATCH(J8,Cronograma!$A$8:$A$17,0)),"")</f>
        <v>46292</v>
      </c>
      <c r="M8" s="21" t="s">
        <v>76</v>
      </c>
      <c r="N8" s="25"/>
    </row>
    <row r="9" customFormat="false" ht="61.5" hidden="false" customHeight="true" outlineLevel="0" collapsed="false">
      <c r="A9" s="19" t="s">
        <v>77</v>
      </c>
      <c r="B9" s="19" t="s">
        <v>57</v>
      </c>
      <c r="C9" s="20" t="s">
        <v>78</v>
      </c>
      <c r="D9" s="21" t="s">
        <v>79</v>
      </c>
      <c r="E9" s="19" t="s">
        <v>19</v>
      </c>
      <c r="F9" s="22" t="s">
        <v>16</v>
      </c>
      <c r="G9" s="22" t="s">
        <v>60</v>
      </c>
      <c r="H9" s="23" t="n">
        <v>0.25</v>
      </c>
      <c r="I9" s="19" t="s">
        <v>75</v>
      </c>
      <c r="J9" s="22" t="n">
        <v>1</v>
      </c>
      <c r="K9" s="24" t="n">
        <f aca="false">IFERROR(INDEX(Cronograma!$B$8:$B$17,MATCH(J9,Cronograma!$A$8:$A$17,0)),"")</f>
        <v>46286</v>
      </c>
      <c r="L9" s="24" t="n">
        <f aca="false">IFERROR(INDEX(Cronograma!$C$8:$C$17,MATCH(J9,Cronograma!$A$8:$A$17,0)),"")</f>
        <v>46292</v>
      </c>
      <c r="M9" s="21" t="s">
        <v>80</v>
      </c>
      <c r="N9" s="25"/>
    </row>
    <row r="10" customFormat="false" ht="61.5" hidden="false" customHeight="true" outlineLevel="0" collapsed="false">
      <c r="A10" s="19" t="s">
        <v>81</v>
      </c>
      <c r="B10" s="19" t="s">
        <v>57</v>
      </c>
      <c r="C10" s="20" t="s">
        <v>82</v>
      </c>
      <c r="D10" s="21" t="s">
        <v>83</v>
      </c>
      <c r="E10" s="19" t="s">
        <v>19</v>
      </c>
      <c r="F10" s="22" t="s">
        <v>18</v>
      </c>
      <c r="G10" s="22" t="s">
        <v>84</v>
      </c>
      <c r="H10" s="23" t="n">
        <v>2</v>
      </c>
      <c r="I10" s="19" t="s">
        <v>75</v>
      </c>
      <c r="J10" s="22" t="n">
        <v>1</v>
      </c>
      <c r="K10" s="24" t="n">
        <f aca="false">IFERROR(INDEX(Cronograma!$B$8:$B$17,MATCH(J10,Cronograma!$A$8:$A$17,0)),"")</f>
        <v>46286</v>
      </c>
      <c r="L10" s="24" t="n">
        <f aca="false">IFERROR(INDEX(Cronograma!$C$8:$C$17,MATCH(J10,Cronograma!$A$8:$A$17,0)),"")</f>
        <v>46292</v>
      </c>
      <c r="M10" s="21" t="s">
        <v>85</v>
      </c>
      <c r="N10" s="25"/>
    </row>
    <row r="11" customFormat="false" ht="61.5" hidden="false" customHeight="true" outlineLevel="0" collapsed="false">
      <c r="A11" s="19" t="s">
        <v>86</v>
      </c>
      <c r="B11" s="19" t="s">
        <v>57</v>
      </c>
      <c r="C11" s="20" t="s">
        <v>87</v>
      </c>
      <c r="D11" s="21" t="s">
        <v>88</v>
      </c>
      <c r="E11" s="19" t="s">
        <v>21</v>
      </c>
      <c r="F11" s="22" t="s">
        <v>18</v>
      </c>
      <c r="G11" s="22" t="s">
        <v>84</v>
      </c>
      <c r="H11" s="23" t="n">
        <v>0.5</v>
      </c>
      <c r="I11" s="19" t="s">
        <v>75</v>
      </c>
      <c r="J11" s="22" t="n">
        <v>1</v>
      </c>
      <c r="K11" s="24" t="n">
        <f aca="false">IFERROR(INDEX(Cronograma!$B$8:$B$17,MATCH(J11,Cronograma!$A$8:$A$17,0)),"")</f>
        <v>46286</v>
      </c>
      <c r="L11" s="24" t="n">
        <f aca="false">IFERROR(INDEX(Cronograma!$C$8:$C$17,MATCH(J11,Cronograma!$A$8:$A$17,0)),"")</f>
        <v>46292</v>
      </c>
      <c r="M11" s="21" t="s">
        <v>89</v>
      </c>
      <c r="N11" s="25"/>
    </row>
    <row r="12" customFormat="false" ht="61.5" hidden="false" customHeight="true" outlineLevel="0" collapsed="false">
      <c r="A12" s="19" t="s">
        <v>90</v>
      </c>
      <c r="B12" s="19" t="s">
        <v>91</v>
      </c>
      <c r="C12" s="20" t="s">
        <v>92</v>
      </c>
      <c r="D12" s="21" t="s">
        <v>93</v>
      </c>
      <c r="E12" s="19" t="s">
        <v>19</v>
      </c>
      <c r="F12" s="22" t="s">
        <v>16</v>
      </c>
      <c r="G12" s="22" t="s">
        <v>60</v>
      </c>
      <c r="H12" s="23" t="n">
        <v>3</v>
      </c>
      <c r="I12" s="19" t="s">
        <v>75</v>
      </c>
      <c r="J12" s="22" t="n">
        <v>2</v>
      </c>
      <c r="K12" s="24" t="n">
        <f aca="false">IFERROR(INDEX(Cronograma!$B$8:$B$17,MATCH(J12,Cronograma!$A$8:$A$17,0)),"")</f>
        <v>46293</v>
      </c>
      <c r="L12" s="24" t="n">
        <f aca="false">IFERROR(INDEX(Cronograma!$C$8:$C$17,MATCH(J12,Cronograma!$A$8:$A$17,0)),"")</f>
        <v>46299</v>
      </c>
      <c r="M12" s="21" t="s">
        <v>94</v>
      </c>
      <c r="N12" s="25"/>
    </row>
    <row r="13" customFormat="false" ht="61.5" hidden="false" customHeight="true" outlineLevel="0" collapsed="false">
      <c r="A13" s="19" t="s">
        <v>95</v>
      </c>
      <c r="B13" s="19" t="s">
        <v>91</v>
      </c>
      <c r="C13" s="20" t="s">
        <v>96</v>
      </c>
      <c r="D13" s="21" t="s">
        <v>97</v>
      </c>
      <c r="E13" s="19" t="s">
        <v>19</v>
      </c>
      <c r="F13" s="22" t="s">
        <v>16</v>
      </c>
      <c r="G13" s="22" t="s">
        <v>60</v>
      </c>
      <c r="H13" s="23" t="n">
        <v>4</v>
      </c>
      <c r="I13" s="19" t="s">
        <v>75</v>
      </c>
      <c r="J13" s="22" t="n">
        <v>2</v>
      </c>
      <c r="K13" s="24" t="n">
        <f aca="false">IFERROR(INDEX(Cronograma!$B$8:$B$17,MATCH(J13,Cronograma!$A$8:$A$17,0)),"")</f>
        <v>46293</v>
      </c>
      <c r="L13" s="24" t="n">
        <f aca="false">IFERROR(INDEX(Cronograma!$C$8:$C$17,MATCH(J13,Cronograma!$A$8:$A$17,0)),"")</f>
        <v>46299</v>
      </c>
      <c r="M13" s="21" t="s">
        <v>98</v>
      </c>
      <c r="N13" s="25"/>
    </row>
    <row r="14" customFormat="false" ht="61.5" hidden="false" customHeight="true" outlineLevel="0" collapsed="false">
      <c r="A14" s="19" t="s">
        <v>99</v>
      </c>
      <c r="B14" s="19" t="s">
        <v>91</v>
      </c>
      <c r="C14" s="20" t="s">
        <v>100</v>
      </c>
      <c r="D14" s="21" t="s">
        <v>101</v>
      </c>
      <c r="E14" s="19" t="s">
        <v>21</v>
      </c>
      <c r="F14" s="22" t="s">
        <v>16</v>
      </c>
      <c r="G14" s="22" t="s">
        <v>60</v>
      </c>
      <c r="H14" s="23" t="n">
        <v>3</v>
      </c>
      <c r="I14" s="19" t="s">
        <v>75</v>
      </c>
      <c r="J14" s="22" t="n">
        <v>2</v>
      </c>
      <c r="K14" s="24" t="n">
        <f aca="false">IFERROR(INDEX(Cronograma!$B$8:$B$17,MATCH(J14,Cronograma!$A$8:$A$17,0)),"")</f>
        <v>46293</v>
      </c>
      <c r="L14" s="24" t="n">
        <f aca="false">IFERROR(INDEX(Cronograma!$C$8:$C$17,MATCH(J14,Cronograma!$A$8:$A$17,0)),"")</f>
        <v>46299</v>
      </c>
      <c r="M14" s="21" t="s">
        <v>102</v>
      </c>
      <c r="N14" s="25"/>
    </row>
    <row r="15" customFormat="false" ht="61.5" hidden="false" customHeight="true" outlineLevel="0" collapsed="false">
      <c r="A15" s="19" t="s">
        <v>103</v>
      </c>
      <c r="B15" s="19" t="s">
        <v>104</v>
      </c>
      <c r="C15" s="20" t="s">
        <v>105</v>
      </c>
      <c r="D15" s="21" t="s">
        <v>106</v>
      </c>
      <c r="E15" s="19" t="s">
        <v>21</v>
      </c>
      <c r="F15" s="22" t="s">
        <v>20</v>
      </c>
      <c r="G15" s="22" t="s">
        <v>60</v>
      </c>
      <c r="H15" s="23" t="n">
        <v>1</v>
      </c>
      <c r="I15" s="19" t="s">
        <v>61</v>
      </c>
      <c r="J15" s="22" t="n">
        <v>2</v>
      </c>
      <c r="K15" s="24" t="n">
        <f aca="false">IFERROR(INDEX(Cronograma!$B$8:$B$17,MATCH(J15,Cronograma!$A$8:$A$17,0)),"")</f>
        <v>46293</v>
      </c>
      <c r="L15" s="24" t="n">
        <f aca="false">IFERROR(INDEX(Cronograma!$C$8:$C$17,MATCH(J15,Cronograma!$A$8:$A$17,0)),"")</f>
        <v>46299</v>
      </c>
      <c r="M15" s="21" t="s">
        <v>107</v>
      </c>
      <c r="N15" s="25"/>
    </row>
    <row r="16" customFormat="false" ht="61.5" hidden="false" customHeight="true" outlineLevel="0" collapsed="false">
      <c r="A16" s="19" t="s">
        <v>108</v>
      </c>
      <c r="B16" s="19" t="s">
        <v>109</v>
      </c>
      <c r="C16" s="20" t="s">
        <v>110</v>
      </c>
      <c r="D16" s="21" t="s">
        <v>111</v>
      </c>
      <c r="E16" s="19" t="s">
        <v>19</v>
      </c>
      <c r="F16" s="22" t="s">
        <v>16</v>
      </c>
      <c r="G16" s="22" t="s">
        <v>60</v>
      </c>
      <c r="H16" s="23" t="n">
        <v>2</v>
      </c>
      <c r="I16" s="19" t="s">
        <v>75</v>
      </c>
      <c r="J16" s="22" t="n">
        <v>3</v>
      </c>
      <c r="K16" s="24" t="n">
        <f aca="false">IFERROR(INDEX(Cronograma!$B$8:$B$17,MATCH(J16,Cronograma!$A$8:$A$17,0)),"")</f>
        <v>46300</v>
      </c>
      <c r="L16" s="24" t="n">
        <f aca="false">IFERROR(INDEX(Cronograma!$C$8:$C$17,MATCH(J16,Cronograma!$A$8:$A$17,0)),"")</f>
        <v>46306</v>
      </c>
      <c r="M16" s="21" t="s">
        <v>112</v>
      </c>
      <c r="N16" s="25"/>
    </row>
    <row r="17" customFormat="false" ht="61.5" hidden="false" customHeight="true" outlineLevel="0" collapsed="false">
      <c r="A17" s="19" t="s">
        <v>113</v>
      </c>
      <c r="B17" s="19" t="s">
        <v>109</v>
      </c>
      <c r="C17" s="20" t="s">
        <v>114</v>
      </c>
      <c r="D17" s="21" t="s">
        <v>115</v>
      </c>
      <c r="E17" s="19" t="s">
        <v>19</v>
      </c>
      <c r="F17" s="22" t="s">
        <v>16</v>
      </c>
      <c r="G17" s="22" t="s">
        <v>60</v>
      </c>
      <c r="H17" s="23" t="n">
        <v>3</v>
      </c>
      <c r="I17" s="19" t="s">
        <v>75</v>
      </c>
      <c r="J17" s="22" t="n">
        <v>3</v>
      </c>
      <c r="K17" s="24" t="n">
        <f aca="false">IFERROR(INDEX(Cronograma!$B$8:$B$17,MATCH(J17,Cronograma!$A$8:$A$17,0)),"")</f>
        <v>46300</v>
      </c>
      <c r="L17" s="24" t="n">
        <f aca="false">IFERROR(INDEX(Cronograma!$C$8:$C$17,MATCH(J17,Cronograma!$A$8:$A$17,0)),"")</f>
        <v>46306</v>
      </c>
      <c r="M17" s="21" t="s">
        <v>116</v>
      </c>
      <c r="N17" s="25"/>
    </row>
    <row r="18" customFormat="false" ht="61.5" hidden="false" customHeight="true" outlineLevel="0" collapsed="false">
      <c r="A18" s="19" t="s">
        <v>117</v>
      </c>
      <c r="B18" s="19" t="s">
        <v>109</v>
      </c>
      <c r="C18" s="20" t="s">
        <v>118</v>
      </c>
      <c r="D18" s="21" t="s">
        <v>119</v>
      </c>
      <c r="E18" s="19" t="s">
        <v>19</v>
      </c>
      <c r="F18" s="22" t="s">
        <v>16</v>
      </c>
      <c r="G18" s="22" t="s">
        <v>60</v>
      </c>
      <c r="H18" s="23" t="n">
        <v>3</v>
      </c>
      <c r="I18" s="19" t="s">
        <v>75</v>
      </c>
      <c r="J18" s="22" t="n">
        <v>3</v>
      </c>
      <c r="K18" s="24" t="n">
        <f aca="false">IFERROR(INDEX(Cronograma!$B$8:$B$17,MATCH(J18,Cronograma!$A$8:$A$17,0)),"")</f>
        <v>46300</v>
      </c>
      <c r="L18" s="24" t="n">
        <f aca="false">IFERROR(INDEX(Cronograma!$C$8:$C$17,MATCH(J18,Cronograma!$A$8:$A$17,0)),"")</f>
        <v>46306</v>
      </c>
      <c r="M18" s="21" t="s">
        <v>120</v>
      </c>
      <c r="N18" s="25"/>
    </row>
    <row r="19" customFormat="false" ht="61.5" hidden="false" customHeight="true" outlineLevel="0" collapsed="false">
      <c r="A19" s="19" t="s">
        <v>121</v>
      </c>
      <c r="B19" s="19" t="s">
        <v>72</v>
      </c>
      <c r="C19" s="20" t="s">
        <v>122</v>
      </c>
      <c r="D19" s="21" t="s">
        <v>123</v>
      </c>
      <c r="E19" s="19" t="s">
        <v>19</v>
      </c>
      <c r="F19" s="22" t="s">
        <v>16</v>
      </c>
      <c r="G19" s="22" t="s">
        <v>60</v>
      </c>
      <c r="H19" s="23" t="n">
        <v>0.25</v>
      </c>
      <c r="I19" s="19" t="s">
        <v>61</v>
      </c>
      <c r="J19" s="22" t="n">
        <v>3</v>
      </c>
      <c r="K19" s="24" t="n">
        <f aca="false">IFERROR(INDEX(Cronograma!$B$8:$B$17,MATCH(J19,Cronograma!$A$8:$A$17,0)),"")</f>
        <v>46300</v>
      </c>
      <c r="L19" s="24" t="n">
        <f aca="false">IFERROR(INDEX(Cronograma!$C$8:$C$17,MATCH(J19,Cronograma!$A$8:$A$17,0)),"")</f>
        <v>46306</v>
      </c>
      <c r="M19" s="21" t="s">
        <v>124</v>
      </c>
      <c r="N19" s="25"/>
    </row>
    <row r="20" customFormat="false" ht="61.5" hidden="false" customHeight="true" outlineLevel="0" collapsed="false">
      <c r="A20" s="19" t="s">
        <v>125</v>
      </c>
      <c r="B20" s="19" t="s">
        <v>104</v>
      </c>
      <c r="C20" s="20" t="s">
        <v>126</v>
      </c>
      <c r="D20" s="21" t="s">
        <v>127</v>
      </c>
      <c r="E20" s="19" t="s">
        <v>21</v>
      </c>
      <c r="F20" s="22" t="s">
        <v>16</v>
      </c>
      <c r="G20" s="22" t="s">
        <v>84</v>
      </c>
      <c r="H20" s="23" t="n">
        <v>2</v>
      </c>
      <c r="I20" s="19" t="s">
        <v>75</v>
      </c>
      <c r="J20" s="22" t="n">
        <v>4</v>
      </c>
      <c r="K20" s="24" t="n">
        <f aca="false">IFERROR(INDEX(Cronograma!$B$8:$B$17,MATCH(J20,Cronograma!$A$8:$A$17,0)),"")</f>
        <v>46307</v>
      </c>
      <c r="L20" s="24" t="n">
        <f aca="false">IFERROR(INDEX(Cronograma!$C$8:$C$17,MATCH(J20,Cronograma!$A$8:$A$17,0)),"")</f>
        <v>46313</v>
      </c>
      <c r="M20" s="21" t="s">
        <v>128</v>
      </c>
      <c r="N20" s="25"/>
    </row>
    <row r="21" customFormat="false" ht="61.5" hidden="false" customHeight="true" outlineLevel="0" collapsed="false">
      <c r="A21" s="19" t="s">
        <v>129</v>
      </c>
      <c r="B21" s="19" t="s">
        <v>104</v>
      </c>
      <c r="C21" s="20" t="s">
        <v>130</v>
      </c>
      <c r="D21" s="21" t="s">
        <v>131</v>
      </c>
      <c r="E21" s="19" t="s">
        <v>21</v>
      </c>
      <c r="F21" s="22" t="s">
        <v>16</v>
      </c>
      <c r="G21" s="22" t="s">
        <v>60</v>
      </c>
      <c r="H21" s="23" t="n">
        <v>2</v>
      </c>
      <c r="I21" s="19" t="s">
        <v>61</v>
      </c>
      <c r="J21" s="22" t="n">
        <v>4</v>
      </c>
      <c r="K21" s="24" t="n">
        <f aca="false">IFERROR(INDEX(Cronograma!$B$8:$B$17,MATCH(J21,Cronograma!$A$8:$A$17,0)),"")</f>
        <v>46307</v>
      </c>
      <c r="L21" s="24" t="n">
        <f aca="false">IFERROR(INDEX(Cronograma!$C$8:$C$17,MATCH(J21,Cronograma!$A$8:$A$17,0)),"")</f>
        <v>46313</v>
      </c>
      <c r="M21" s="21" t="s">
        <v>132</v>
      </c>
      <c r="N21" s="25"/>
    </row>
    <row r="22" customFormat="false" ht="61.5" hidden="false" customHeight="true" outlineLevel="0" collapsed="false">
      <c r="A22" s="19" t="s">
        <v>133</v>
      </c>
      <c r="B22" s="19" t="s">
        <v>72</v>
      </c>
      <c r="C22" s="20" t="s">
        <v>134</v>
      </c>
      <c r="D22" s="21" t="s">
        <v>135</v>
      </c>
      <c r="E22" s="19" t="s">
        <v>19</v>
      </c>
      <c r="F22" s="22" t="s">
        <v>16</v>
      </c>
      <c r="G22" s="22" t="s">
        <v>84</v>
      </c>
      <c r="H22" s="23" t="n">
        <v>6</v>
      </c>
      <c r="I22" s="19" t="s">
        <v>61</v>
      </c>
      <c r="J22" s="22" t="n">
        <v>5</v>
      </c>
      <c r="K22" s="24" t="n">
        <f aca="false">IFERROR(INDEX(Cronograma!$B$8:$B$17,MATCH(J22,Cronograma!$A$8:$A$17,0)),"")</f>
        <v>46314</v>
      </c>
      <c r="L22" s="24" t="n">
        <f aca="false">IFERROR(INDEX(Cronograma!$C$8:$C$17,MATCH(J22,Cronograma!$A$8:$A$17,0)),"")</f>
        <v>46320</v>
      </c>
      <c r="M22" s="21" t="s">
        <v>136</v>
      </c>
      <c r="N22" s="25"/>
    </row>
    <row r="23" customFormat="false" ht="61.5" hidden="false" customHeight="true" outlineLevel="0" collapsed="false">
      <c r="A23" s="19" t="s">
        <v>137</v>
      </c>
      <c r="B23" s="19" t="s">
        <v>104</v>
      </c>
      <c r="C23" s="20" t="s">
        <v>138</v>
      </c>
      <c r="D23" s="21" t="s">
        <v>139</v>
      </c>
      <c r="E23" s="19" t="s">
        <v>19</v>
      </c>
      <c r="F23" s="22" t="s">
        <v>16</v>
      </c>
      <c r="G23" s="22" t="s">
        <v>60</v>
      </c>
      <c r="H23" s="23" t="n">
        <v>6</v>
      </c>
      <c r="I23" s="19" t="s">
        <v>61</v>
      </c>
      <c r="J23" s="22" t="n">
        <v>6</v>
      </c>
      <c r="K23" s="24" t="n">
        <f aca="false">IFERROR(INDEX(Cronograma!$B$8:$B$17,MATCH(J23,Cronograma!$A$8:$A$17,0)),"")</f>
        <v>46321</v>
      </c>
      <c r="L23" s="24" t="n">
        <f aca="false">IFERROR(INDEX(Cronograma!$C$8:$C$17,MATCH(J23,Cronograma!$A$8:$A$17,0)),"")</f>
        <v>46327</v>
      </c>
      <c r="M23" s="21" t="s">
        <v>140</v>
      </c>
      <c r="N23" s="25"/>
    </row>
    <row r="24" customFormat="false" ht="61.5" hidden="false" customHeight="true" outlineLevel="0" collapsed="false">
      <c r="A24" s="19" t="s">
        <v>141</v>
      </c>
      <c r="B24" s="19" t="s">
        <v>104</v>
      </c>
      <c r="C24" s="20" t="s">
        <v>142</v>
      </c>
      <c r="D24" s="21" t="s">
        <v>143</v>
      </c>
      <c r="E24" s="19" t="s">
        <v>19</v>
      </c>
      <c r="F24" s="22" t="s">
        <v>16</v>
      </c>
      <c r="G24" s="22" t="s">
        <v>84</v>
      </c>
      <c r="H24" s="23" t="n">
        <v>4</v>
      </c>
      <c r="I24" s="19" t="s">
        <v>61</v>
      </c>
      <c r="J24" s="22" t="n">
        <v>6</v>
      </c>
      <c r="K24" s="24" t="n">
        <f aca="false">IFERROR(INDEX(Cronograma!$B$8:$B$17,MATCH(J24,Cronograma!$A$8:$A$17,0)),"")</f>
        <v>46321</v>
      </c>
      <c r="L24" s="24" t="n">
        <f aca="false">IFERROR(INDEX(Cronograma!$C$8:$C$17,MATCH(J24,Cronograma!$A$8:$A$17,0)),"")</f>
        <v>46327</v>
      </c>
      <c r="M24" s="21" t="s">
        <v>144</v>
      </c>
      <c r="N24" s="25"/>
    </row>
    <row r="25" customFormat="false" ht="61.5" hidden="false" customHeight="true" outlineLevel="0" collapsed="false">
      <c r="A25" s="19" t="s">
        <v>145</v>
      </c>
      <c r="B25" s="19" t="s">
        <v>146</v>
      </c>
      <c r="C25" s="20" t="s">
        <v>147</v>
      </c>
      <c r="D25" s="21" t="s">
        <v>148</v>
      </c>
      <c r="E25" s="19" t="s">
        <v>21</v>
      </c>
      <c r="F25" s="22" t="s">
        <v>16</v>
      </c>
      <c r="G25" s="22" t="s">
        <v>60</v>
      </c>
      <c r="H25" s="23" t="n">
        <v>1</v>
      </c>
      <c r="I25" s="19" t="s">
        <v>61</v>
      </c>
      <c r="J25" s="22" t="n">
        <v>6</v>
      </c>
      <c r="K25" s="24" t="n">
        <f aca="false">IFERROR(INDEX(Cronograma!$B$8:$B$17,MATCH(J25,Cronograma!$A$8:$A$17,0)),"")</f>
        <v>46321</v>
      </c>
      <c r="L25" s="24" t="n">
        <f aca="false">IFERROR(INDEX(Cronograma!$C$8:$C$17,MATCH(J25,Cronograma!$A$8:$A$17,0)),"")</f>
        <v>46327</v>
      </c>
      <c r="M25" s="21" t="s">
        <v>149</v>
      </c>
      <c r="N25" s="25"/>
    </row>
    <row r="26" customFormat="false" ht="61.5" hidden="false" customHeight="true" outlineLevel="0" collapsed="false">
      <c r="A26" s="19" t="s">
        <v>150</v>
      </c>
      <c r="B26" s="19" t="s">
        <v>146</v>
      </c>
      <c r="C26" s="20" t="s">
        <v>151</v>
      </c>
      <c r="D26" s="21" t="s">
        <v>152</v>
      </c>
      <c r="E26" s="19" t="s">
        <v>19</v>
      </c>
      <c r="F26" s="22" t="s">
        <v>24</v>
      </c>
      <c r="G26" s="22" t="s">
        <v>153</v>
      </c>
      <c r="H26" s="23" t="n">
        <v>0</v>
      </c>
      <c r="I26" s="19" t="s">
        <v>75</v>
      </c>
      <c r="J26" s="22" t="n">
        <v>7</v>
      </c>
      <c r="K26" s="24" t="n">
        <f aca="false">IFERROR(INDEX(Cronograma!$B$8:$B$17,MATCH(J26,Cronograma!$A$8:$A$17,0)),"")</f>
        <v>46328</v>
      </c>
      <c r="L26" s="24" t="n">
        <f aca="false">IFERROR(INDEX(Cronograma!$C$8:$C$17,MATCH(J26,Cronograma!$A$8:$A$17,0)),"")</f>
        <v>46334</v>
      </c>
      <c r="M26" s="21" t="s">
        <v>154</v>
      </c>
      <c r="N26" s="25"/>
    </row>
    <row r="27" customFormat="false" ht="61.5" hidden="false" customHeight="true" outlineLevel="0" collapsed="false">
      <c r="A27" s="19" t="s">
        <v>155</v>
      </c>
      <c r="B27" s="19" t="s">
        <v>146</v>
      </c>
      <c r="C27" s="20" t="s">
        <v>156</v>
      </c>
      <c r="D27" s="21" t="s">
        <v>157</v>
      </c>
      <c r="E27" s="19" t="s">
        <v>23</v>
      </c>
      <c r="F27" s="22" t="s">
        <v>16</v>
      </c>
      <c r="G27" s="22" t="s">
        <v>60</v>
      </c>
      <c r="H27" s="23" t="n">
        <v>0.5</v>
      </c>
      <c r="I27" s="19" t="s">
        <v>61</v>
      </c>
      <c r="J27" s="22" t="n">
        <v>7</v>
      </c>
      <c r="K27" s="24" t="n">
        <f aca="false">IFERROR(INDEX(Cronograma!$B$8:$B$17,MATCH(J27,Cronograma!$A$8:$A$17,0)),"")</f>
        <v>46328</v>
      </c>
      <c r="L27" s="24" t="n">
        <f aca="false">IFERROR(INDEX(Cronograma!$C$8:$C$17,MATCH(J27,Cronograma!$A$8:$A$17,0)),"")</f>
        <v>46334</v>
      </c>
      <c r="M27" s="21" t="s">
        <v>158</v>
      </c>
      <c r="N27" s="25"/>
    </row>
    <row r="28" customFormat="false" ht="61.5" hidden="false" customHeight="true" outlineLevel="0" collapsed="false">
      <c r="A28" s="19" t="s">
        <v>159</v>
      </c>
      <c r="B28" s="19" t="s">
        <v>160</v>
      </c>
      <c r="C28" s="20" t="s">
        <v>161</v>
      </c>
      <c r="D28" s="21" t="s">
        <v>162</v>
      </c>
      <c r="E28" s="19" t="s">
        <v>19</v>
      </c>
      <c r="F28" s="22" t="s">
        <v>16</v>
      </c>
      <c r="G28" s="22" t="s">
        <v>84</v>
      </c>
      <c r="H28" s="23" t="n">
        <v>6</v>
      </c>
      <c r="I28" s="19" t="s">
        <v>75</v>
      </c>
      <c r="J28" s="22" t="n">
        <v>8</v>
      </c>
      <c r="K28" s="24" t="n">
        <f aca="false">IFERROR(INDEX(Cronograma!$B$8:$B$17,MATCH(J28,Cronograma!$A$8:$A$17,0)),"")</f>
        <v>46335</v>
      </c>
      <c r="L28" s="24" t="n">
        <f aca="false">IFERROR(INDEX(Cronograma!$C$8:$C$17,MATCH(J28,Cronograma!$A$8:$A$17,0)),"")</f>
        <v>46341</v>
      </c>
      <c r="M28" s="21" t="s">
        <v>163</v>
      </c>
      <c r="N28" s="25"/>
    </row>
    <row r="29" customFormat="false" ht="61.5" hidden="false" customHeight="true" outlineLevel="0" collapsed="false">
      <c r="A29" s="19" t="s">
        <v>164</v>
      </c>
      <c r="B29" s="19" t="s">
        <v>160</v>
      </c>
      <c r="C29" s="20" t="s">
        <v>165</v>
      </c>
      <c r="D29" s="21" t="s">
        <v>166</v>
      </c>
      <c r="E29" s="19" t="s">
        <v>19</v>
      </c>
      <c r="F29" s="22" t="s">
        <v>16</v>
      </c>
      <c r="G29" s="22" t="s">
        <v>60</v>
      </c>
      <c r="H29" s="23" t="n">
        <v>2</v>
      </c>
      <c r="I29" s="19" t="s">
        <v>75</v>
      </c>
      <c r="J29" s="22" t="n">
        <v>8</v>
      </c>
      <c r="K29" s="24" t="n">
        <f aca="false">IFERROR(INDEX(Cronograma!$B$8:$B$17,MATCH(J29,Cronograma!$A$8:$A$17,0)),"")</f>
        <v>46335</v>
      </c>
      <c r="L29" s="24" t="n">
        <f aca="false">IFERROR(INDEX(Cronograma!$C$8:$C$17,MATCH(J29,Cronograma!$A$8:$A$17,0)),"")</f>
        <v>46341</v>
      </c>
      <c r="M29" s="21" t="s">
        <v>167</v>
      </c>
      <c r="N29" s="25"/>
    </row>
    <row r="30" customFormat="false" ht="61.5" hidden="false" customHeight="true" outlineLevel="0" collapsed="false">
      <c r="A30" s="19" t="s">
        <v>168</v>
      </c>
      <c r="B30" s="19" t="s">
        <v>160</v>
      </c>
      <c r="C30" s="20" t="s">
        <v>169</v>
      </c>
      <c r="D30" s="21" t="s">
        <v>170</v>
      </c>
      <c r="E30" s="19" t="s">
        <v>19</v>
      </c>
      <c r="F30" s="22" t="s">
        <v>16</v>
      </c>
      <c r="G30" s="22" t="s">
        <v>84</v>
      </c>
      <c r="H30" s="23" t="n">
        <v>2</v>
      </c>
      <c r="I30" s="19" t="s">
        <v>75</v>
      </c>
      <c r="J30" s="22" t="n">
        <v>8</v>
      </c>
      <c r="K30" s="24" t="n">
        <f aca="false">IFERROR(INDEX(Cronograma!$B$8:$B$17,MATCH(J30,Cronograma!$A$8:$A$17,0)),"")</f>
        <v>46335</v>
      </c>
      <c r="L30" s="24" t="n">
        <f aca="false">IFERROR(INDEX(Cronograma!$C$8:$C$17,MATCH(J30,Cronograma!$A$8:$A$17,0)),"")</f>
        <v>46341</v>
      </c>
      <c r="M30" s="21" t="s">
        <v>171</v>
      </c>
      <c r="N30" s="25"/>
    </row>
    <row r="31" customFormat="false" ht="61.5" hidden="false" customHeight="true" outlineLevel="0" collapsed="false">
      <c r="A31" s="19" t="s">
        <v>172</v>
      </c>
      <c r="B31" s="19" t="s">
        <v>160</v>
      </c>
      <c r="C31" s="20" t="s">
        <v>173</v>
      </c>
      <c r="D31" s="21" t="s">
        <v>174</v>
      </c>
      <c r="E31" s="19" t="s">
        <v>19</v>
      </c>
      <c r="F31" s="22" t="s">
        <v>16</v>
      </c>
      <c r="G31" s="22" t="s">
        <v>60</v>
      </c>
      <c r="H31" s="23" t="n">
        <v>1</v>
      </c>
      <c r="I31" s="19" t="s">
        <v>61</v>
      </c>
      <c r="J31" s="22" t="n">
        <v>9</v>
      </c>
      <c r="K31" s="24" t="n">
        <f aca="false">IFERROR(INDEX(Cronograma!$B$8:$B$17,MATCH(J31,Cronograma!$A$8:$A$17,0)),"")</f>
        <v>46342</v>
      </c>
      <c r="L31" s="24" t="n">
        <f aca="false">IFERROR(INDEX(Cronograma!$C$8:$C$17,MATCH(J31,Cronograma!$A$8:$A$17,0)),"")</f>
        <v>46348</v>
      </c>
      <c r="M31" s="21" t="s">
        <v>175</v>
      </c>
      <c r="N31" s="25"/>
    </row>
    <row r="32" customFormat="false" ht="61.5" hidden="false" customHeight="true" outlineLevel="0" collapsed="false">
      <c r="A32" s="19" t="s">
        <v>176</v>
      </c>
      <c r="B32" s="19" t="s">
        <v>160</v>
      </c>
      <c r="C32" s="20" t="s">
        <v>177</v>
      </c>
      <c r="D32" s="21" t="s">
        <v>178</v>
      </c>
      <c r="E32" s="19" t="s">
        <v>19</v>
      </c>
      <c r="F32" s="22" t="s">
        <v>16</v>
      </c>
      <c r="G32" s="22" t="s">
        <v>84</v>
      </c>
      <c r="H32" s="23" t="n">
        <v>3</v>
      </c>
      <c r="I32" s="19" t="s">
        <v>75</v>
      </c>
      <c r="J32" s="22" t="n">
        <v>9</v>
      </c>
      <c r="K32" s="24" t="n">
        <f aca="false">IFERROR(INDEX(Cronograma!$B$8:$B$17,MATCH(J32,Cronograma!$A$8:$A$17,0)),"")</f>
        <v>46342</v>
      </c>
      <c r="L32" s="24" t="n">
        <f aca="false">IFERROR(INDEX(Cronograma!$C$8:$C$17,MATCH(J32,Cronograma!$A$8:$A$17,0)),"")</f>
        <v>46348</v>
      </c>
      <c r="M32" s="21" t="s">
        <v>179</v>
      </c>
      <c r="N32" s="25"/>
    </row>
    <row r="33" customFormat="false" ht="61.5" hidden="false" customHeight="true" outlineLevel="0" collapsed="false">
      <c r="A33" s="19" t="s">
        <v>180</v>
      </c>
      <c r="B33" s="19" t="s">
        <v>57</v>
      </c>
      <c r="C33" s="20" t="s">
        <v>181</v>
      </c>
      <c r="D33" s="21" t="s">
        <v>182</v>
      </c>
      <c r="E33" s="19" t="s">
        <v>21</v>
      </c>
      <c r="F33" s="22" t="s">
        <v>16</v>
      </c>
      <c r="G33" s="22" t="s">
        <v>60</v>
      </c>
      <c r="H33" s="23" t="n">
        <v>0.25</v>
      </c>
      <c r="I33" s="19" t="s">
        <v>61</v>
      </c>
      <c r="J33" s="22" t="n">
        <v>9</v>
      </c>
      <c r="K33" s="24" t="n">
        <f aca="false">IFERROR(INDEX(Cronograma!$B$8:$B$17,MATCH(J33,Cronograma!$A$8:$A$17,0)),"")</f>
        <v>46342</v>
      </c>
      <c r="L33" s="24" t="n">
        <f aca="false">IFERROR(INDEX(Cronograma!$C$8:$C$17,MATCH(J33,Cronograma!$A$8:$A$17,0)),"")</f>
        <v>46348</v>
      </c>
      <c r="M33" s="21" t="s">
        <v>183</v>
      </c>
      <c r="N33" s="25"/>
    </row>
    <row r="34" customFormat="false" ht="61.5" hidden="false" customHeight="true" outlineLevel="0" collapsed="false">
      <c r="A34" s="19" t="s">
        <v>184</v>
      </c>
      <c r="B34" s="19" t="s">
        <v>160</v>
      </c>
      <c r="C34" s="20" t="s">
        <v>185</v>
      </c>
      <c r="D34" s="21" t="s">
        <v>186</v>
      </c>
      <c r="E34" s="19" t="s">
        <v>21</v>
      </c>
      <c r="F34" s="22" t="s">
        <v>16</v>
      </c>
      <c r="G34" s="22" t="s">
        <v>84</v>
      </c>
      <c r="H34" s="23" t="n">
        <v>0</v>
      </c>
      <c r="I34" s="19" t="s">
        <v>75</v>
      </c>
      <c r="J34" s="22" t="n">
        <v>10</v>
      </c>
      <c r="K34" s="24" t="n">
        <f aca="false">IFERROR(INDEX(Cronograma!$B$8:$B$17,MATCH(J34,Cronograma!$A$8:$A$17,0)),"")</f>
        <v>46349</v>
      </c>
      <c r="L34" s="24" t="n">
        <f aca="false">IFERROR(INDEX(Cronograma!$C$8:$C$17,MATCH(J34,Cronograma!$A$8:$A$17,0)),"")</f>
        <v>46355</v>
      </c>
      <c r="M34" s="21" t="s">
        <v>187</v>
      </c>
      <c r="N34" s="25"/>
    </row>
    <row r="36" customFormat="false" ht="15" hidden="false" customHeight="false" outlineLevel="0" collapsed="false">
      <c r="A36" s="2" t="s">
        <v>188</v>
      </c>
    </row>
  </sheetData>
  <autoFilter ref="A4:N34"/>
  <mergeCells count="1">
    <mergeCell ref="A2:N2"/>
  </mergeCells>
  <conditionalFormatting sqref="F5:F84">
    <cfRule type="expression" priority="2" aboveAverage="0" equalAverage="0" bottom="0" percent="0" rank="0" text="" dxfId="16">
      <formula>$F5="Concluído"</formula>
    </cfRule>
    <cfRule type="expression" priority="3" aboveAverage="0" equalAverage="0" bottom="0" percent="0" rank="0" text="" dxfId="17">
      <formula>$F5="Em andamento"</formula>
    </cfRule>
    <cfRule type="expression" priority="4" aboveAverage="0" equalAverage="0" bottom="0" percent="0" rank="0" text="" dxfId="18">
      <formula>$F5="Bloqueado"</formula>
    </cfRule>
    <cfRule type="expression" priority="5" aboveAverage="0" equalAverage="0" bottom="0" percent="0" rank="0" text="" dxfId="19">
      <formula>$F5="Com o colega"</formula>
    </cfRule>
  </conditionalFormatting>
  <conditionalFormatting sqref="E5:E84">
    <cfRule type="expression" priority="6" aboveAverage="0" equalAverage="0" bottom="0" percent="0" rank="0" text="" dxfId="18">
      <formula>$E5="Crítica"</formula>
    </cfRule>
    <cfRule type="expression" priority="7" aboveAverage="0" equalAverage="0" bottom="0" percent="0" rank="0" text="" dxfId="20">
      <formula>$E5="Alta"</formula>
    </cfRule>
  </conditionalFormatting>
  <conditionalFormatting sqref="A5:D84">
    <cfRule type="expression" priority="8" aboveAverage="0" equalAverage="0" bottom="0" percent="0" rank="0" text="" dxfId="21">
      <formula>$F5="Concluído"</formula>
    </cfRule>
  </conditionalFormatting>
  <dataValidations count="3">
    <dataValidation allowBlank="false" error="Escolha um status da lista." errorStyle="stop" errorTitle="Status inválido" operator="between" showDropDown="false" showErrorMessage="true" showInputMessage="false" sqref="F5:F84" type="list">
      <formula1>"A fazer,Em andamento,Concluído,Bloqueado,Com o colega"</formula1>
      <formula2>0</formula2>
    </dataValidation>
    <dataValidation allowBlank="false" errorStyle="stop" operator="between" showDropDown="false" showErrorMessage="false" showInputMessage="false" sqref="E5:E84" type="list">
      <formula1>"Crítica,Alta,Média,Baixa"</formula1>
      <formula2>0</formula2>
    </dataValidation>
    <dataValidation allowBlank="false" error="Use um número de 1 a 10." errorStyle="stop" errorTitle="Semana inválida" operator="between" showDropDown="false" showErrorMessage="true" showInputMessage="false" sqref="J5:J84" type="whole">
      <formula1>1</formula1>
      <formula2>10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266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5" t="s">
        <v>189</v>
      </c>
    </row>
    <row r="2" customFormat="false" ht="15" hidden="false" customHeight="false" outlineLevel="0" collapsed="false">
      <c r="A2" s="2" t="s">
        <v>190</v>
      </c>
    </row>
    <row r="4" customFormat="false" ht="15" hidden="false" customHeight="false" outlineLevel="0" collapsed="false">
      <c r="A4" s="26" t="s">
        <v>191</v>
      </c>
      <c r="C4" s="27" t="n">
        <v>46286</v>
      </c>
    </row>
    <row r="5" customFormat="false" ht="15" hidden="false" customHeight="false" outlineLevel="0" collapsed="false">
      <c r="A5" s="26" t="s">
        <v>4</v>
      </c>
      <c r="C5" s="27" t="n">
        <v>46357</v>
      </c>
    </row>
    <row r="7" customFormat="false" ht="30" hidden="false" customHeight="true" outlineLevel="0" collapsed="false">
      <c r="A7" s="17" t="s">
        <v>51</v>
      </c>
      <c r="B7" s="17" t="s">
        <v>52</v>
      </c>
      <c r="C7" s="17" t="s">
        <v>53</v>
      </c>
      <c r="D7" s="17" t="s">
        <v>192</v>
      </c>
      <c r="E7" s="17" t="s">
        <v>193</v>
      </c>
      <c r="F7" s="17" t="s">
        <v>194</v>
      </c>
      <c r="G7" s="17" t="s">
        <v>7</v>
      </c>
      <c r="H7" s="17" t="s">
        <v>195</v>
      </c>
    </row>
    <row r="8" customFormat="false" ht="15" hidden="false" customHeight="false" outlineLevel="0" collapsed="false">
      <c r="A8" s="19" t="n">
        <v>1</v>
      </c>
      <c r="B8" s="28" t="n">
        <f aca="false">$C$4+7*(A8-1)</f>
        <v>46286</v>
      </c>
      <c r="C8" s="28" t="n">
        <f aca="false">B8+6</f>
        <v>46292</v>
      </c>
      <c r="D8" s="21" t="s">
        <v>196</v>
      </c>
      <c r="E8" s="19" t="n">
        <f aca="false">COUNTIF(Tarefas!$J:$J,A8)</f>
        <v>7</v>
      </c>
      <c r="F8" s="29" t="n">
        <f aca="false">SUMIF(Tarefas!$J:$J,A8,Tarefas!$H:$H)</f>
        <v>3.85</v>
      </c>
      <c r="G8" s="19" t="n">
        <f aca="false">COUNTIFS(Tarefas!$J:$J,A8,Tarefas!$F:$F,"Concluído")</f>
        <v>3</v>
      </c>
      <c r="H8" s="19" t="str">
        <f aca="true">IF(E8=0,"—",IF(G8=E8,"Fechada",IF(TODAY()&gt;C8,"Atrasada",IF(TODAY()&gt;=B8,"Em curso","Por vir"))))</f>
        <v>Em curso</v>
      </c>
    </row>
    <row r="9" customFormat="false" ht="15" hidden="false" customHeight="false" outlineLevel="0" collapsed="false">
      <c r="A9" s="19" t="n">
        <v>2</v>
      </c>
      <c r="B9" s="28" t="n">
        <f aca="false">$C$4+7*(A9-1)</f>
        <v>46293</v>
      </c>
      <c r="C9" s="28" t="n">
        <f aca="false">B9+6</f>
        <v>46299</v>
      </c>
      <c r="D9" s="21" t="s">
        <v>91</v>
      </c>
      <c r="E9" s="19" t="n">
        <f aca="false">COUNTIF(Tarefas!$J:$J,A9)</f>
        <v>4</v>
      </c>
      <c r="F9" s="29" t="n">
        <f aca="false">SUMIF(Tarefas!$J:$J,A9,Tarefas!$H:$H)</f>
        <v>11</v>
      </c>
      <c r="G9" s="19" t="n">
        <f aca="false">COUNTIFS(Tarefas!$J:$J,A9,Tarefas!$F:$F,"Concluído")</f>
        <v>1</v>
      </c>
      <c r="H9" s="19" t="str">
        <f aca="true">IF(E9=0,"—",IF(G9=E9,"Fechada",IF(TODAY()&gt;C9,"Atrasada",IF(TODAY()&gt;=B9,"Em curso","Por vir"))))</f>
        <v>Por vir</v>
      </c>
    </row>
    <row r="10" customFormat="false" ht="15" hidden="false" customHeight="false" outlineLevel="0" collapsed="false">
      <c r="A10" s="19" t="n">
        <v>3</v>
      </c>
      <c r="B10" s="28" t="n">
        <f aca="false">$C$4+7*(A10-1)</f>
        <v>46300</v>
      </c>
      <c r="C10" s="28" t="n">
        <f aca="false">B10+6</f>
        <v>46306</v>
      </c>
      <c r="D10" s="21" t="s">
        <v>197</v>
      </c>
      <c r="E10" s="19" t="n">
        <f aca="false">COUNTIF(Tarefas!$J:$J,A10)</f>
        <v>4</v>
      </c>
      <c r="F10" s="29" t="n">
        <f aca="false">SUMIF(Tarefas!$J:$J,A10,Tarefas!$H:$H)</f>
        <v>8.25</v>
      </c>
      <c r="G10" s="19" t="n">
        <f aca="false">COUNTIFS(Tarefas!$J:$J,A10,Tarefas!$F:$F,"Concluído")</f>
        <v>0</v>
      </c>
      <c r="H10" s="19" t="str">
        <f aca="true">IF(E10=0,"—",IF(G10=E10,"Fechada",IF(TODAY()&gt;C10,"Atrasada",IF(TODAY()&gt;=B10,"Em curso","Por vir"))))</f>
        <v>Por vir</v>
      </c>
    </row>
    <row r="11" customFormat="false" ht="15" hidden="false" customHeight="false" outlineLevel="0" collapsed="false">
      <c r="A11" s="19" t="n">
        <v>4</v>
      </c>
      <c r="B11" s="28" t="n">
        <f aca="false">$C$4+7*(A11-1)</f>
        <v>46307</v>
      </c>
      <c r="C11" s="28" t="n">
        <f aca="false">B11+6</f>
        <v>46313</v>
      </c>
      <c r="D11" s="21" t="s">
        <v>198</v>
      </c>
      <c r="E11" s="19" t="n">
        <f aca="false">COUNTIF(Tarefas!$J:$J,A11)</f>
        <v>2</v>
      </c>
      <c r="F11" s="29" t="n">
        <f aca="false">SUMIF(Tarefas!$J:$J,A11,Tarefas!$H:$H)</f>
        <v>4</v>
      </c>
      <c r="G11" s="19" t="n">
        <f aca="false">COUNTIFS(Tarefas!$J:$J,A11,Tarefas!$F:$F,"Concluído")</f>
        <v>0</v>
      </c>
      <c r="H11" s="19" t="str">
        <f aca="true">IF(E11=0,"—",IF(G11=E11,"Fechada",IF(TODAY()&gt;C11,"Atrasada",IF(TODAY()&gt;=B11,"Em curso","Por vir"))))</f>
        <v>Por vir</v>
      </c>
    </row>
    <row r="12" customFormat="false" ht="15" hidden="false" customHeight="false" outlineLevel="0" collapsed="false">
      <c r="A12" s="19" t="n">
        <v>5</v>
      </c>
      <c r="B12" s="28" t="n">
        <f aca="false">$C$4+7*(A12-1)</f>
        <v>46314</v>
      </c>
      <c r="C12" s="28" t="n">
        <f aca="false">B12+6</f>
        <v>46320</v>
      </c>
      <c r="D12" s="21" t="s">
        <v>199</v>
      </c>
      <c r="E12" s="19" t="n">
        <f aca="false">COUNTIF(Tarefas!$J:$J,A12)</f>
        <v>1</v>
      </c>
      <c r="F12" s="29" t="n">
        <f aca="false">SUMIF(Tarefas!$J:$J,A12,Tarefas!$H:$H)</f>
        <v>6</v>
      </c>
      <c r="G12" s="19" t="n">
        <f aca="false">COUNTIFS(Tarefas!$J:$J,A12,Tarefas!$F:$F,"Concluído")</f>
        <v>0</v>
      </c>
      <c r="H12" s="19" t="str">
        <f aca="true">IF(E12=0,"—",IF(G12=E12,"Fechada",IF(TODAY()&gt;C12,"Atrasada",IF(TODAY()&gt;=B12,"Em curso","Por vir"))))</f>
        <v>Por vir</v>
      </c>
    </row>
    <row r="13" customFormat="false" ht="15" hidden="false" customHeight="false" outlineLevel="0" collapsed="false">
      <c r="A13" s="19" t="n">
        <v>6</v>
      </c>
      <c r="B13" s="28" t="n">
        <f aca="false">$C$4+7*(A13-1)</f>
        <v>46321</v>
      </c>
      <c r="C13" s="28" t="n">
        <f aca="false">B13+6</f>
        <v>46327</v>
      </c>
      <c r="D13" s="21" t="s">
        <v>200</v>
      </c>
      <c r="E13" s="19" t="n">
        <f aca="false">COUNTIF(Tarefas!$J:$J,A13)</f>
        <v>3</v>
      </c>
      <c r="F13" s="29" t="n">
        <f aca="false">SUMIF(Tarefas!$J:$J,A13,Tarefas!$H:$H)</f>
        <v>11</v>
      </c>
      <c r="G13" s="19" t="n">
        <f aca="false">COUNTIFS(Tarefas!$J:$J,A13,Tarefas!$F:$F,"Concluído")</f>
        <v>0</v>
      </c>
      <c r="H13" s="19" t="str">
        <f aca="true">IF(E13=0,"—",IF(G13=E13,"Fechada",IF(TODAY()&gt;C13,"Atrasada",IF(TODAY()&gt;=B13,"Em curso","Por vir"))))</f>
        <v>Por vir</v>
      </c>
    </row>
    <row r="14" customFormat="false" ht="15" hidden="false" customHeight="false" outlineLevel="0" collapsed="false">
      <c r="A14" s="19" t="n">
        <v>7</v>
      </c>
      <c r="B14" s="28" t="n">
        <f aca="false">$C$4+7*(A14-1)</f>
        <v>46328</v>
      </c>
      <c r="C14" s="28" t="n">
        <f aca="false">B14+6</f>
        <v>46334</v>
      </c>
      <c r="D14" s="21" t="s">
        <v>201</v>
      </c>
      <c r="E14" s="19" t="n">
        <f aca="false">COUNTIF(Tarefas!$J:$J,A14)</f>
        <v>2</v>
      </c>
      <c r="F14" s="29" t="n">
        <f aca="false">SUMIF(Tarefas!$J:$J,A14,Tarefas!$H:$H)</f>
        <v>0.5</v>
      </c>
      <c r="G14" s="19" t="n">
        <f aca="false">COUNTIFS(Tarefas!$J:$J,A14,Tarefas!$F:$F,"Concluído")</f>
        <v>0</v>
      </c>
      <c r="H14" s="19" t="str">
        <f aca="true">IF(E14=0,"—",IF(G14=E14,"Fechada",IF(TODAY()&gt;C14,"Atrasada",IF(TODAY()&gt;=B14,"Em curso","Por vir"))))</f>
        <v>Por vir</v>
      </c>
    </row>
    <row r="15" customFormat="false" ht="15" hidden="false" customHeight="false" outlineLevel="0" collapsed="false">
      <c r="A15" s="19" t="n">
        <v>8</v>
      </c>
      <c r="B15" s="28" t="n">
        <f aca="false">$C$4+7*(A15-1)</f>
        <v>46335</v>
      </c>
      <c r="C15" s="28" t="n">
        <f aca="false">B15+6</f>
        <v>46341</v>
      </c>
      <c r="D15" s="21" t="s">
        <v>202</v>
      </c>
      <c r="E15" s="19" t="n">
        <f aca="false">COUNTIF(Tarefas!$J:$J,A15)</f>
        <v>3</v>
      </c>
      <c r="F15" s="29" t="n">
        <f aca="false">SUMIF(Tarefas!$J:$J,A15,Tarefas!$H:$H)</f>
        <v>10</v>
      </c>
      <c r="G15" s="19" t="n">
        <f aca="false">COUNTIFS(Tarefas!$J:$J,A15,Tarefas!$F:$F,"Concluído")</f>
        <v>0</v>
      </c>
      <c r="H15" s="19" t="str">
        <f aca="true">IF(E15=0,"—",IF(G15=E15,"Fechada",IF(TODAY()&gt;C15,"Atrasada",IF(TODAY()&gt;=B15,"Em curso","Por vir"))))</f>
        <v>Por vir</v>
      </c>
    </row>
    <row r="16" customFormat="false" ht="15" hidden="false" customHeight="false" outlineLevel="0" collapsed="false">
      <c r="A16" s="19" t="n">
        <v>9</v>
      </c>
      <c r="B16" s="28" t="n">
        <f aca="false">$C$4+7*(A16-1)</f>
        <v>46342</v>
      </c>
      <c r="C16" s="28" t="n">
        <f aca="false">B16+6</f>
        <v>46348</v>
      </c>
      <c r="D16" s="21" t="s">
        <v>203</v>
      </c>
      <c r="E16" s="19" t="n">
        <f aca="false">COUNTIF(Tarefas!$J:$J,A16)</f>
        <v>3</v>
      </c>
      <c r="F16" s="29" t="n">
        <f aca="false">SUMIF(Tarefas!$J:$J,A16,Tarefas!$H:$H)</f>
        <v>4.25</v>
      </c>
      <c r="G16" s="19" t="n">
        <f aca="false">COUNTIFS(Tarefas!$J:$J,A16,Tarefas!$F:$F,"Concluído")</f>
        <v>0</v>
      </c>
      <c r="H16" s="19" t="str">
        <f aca="true">IF(E16=0,"—",IF(G16=E16,"Fechada",IF(TODAY()&gt;C16,"Atrasada",IF(TODAY()&gt;=B16,"Em curso","Por vir"))))</f>
        <v>Por vir</v>
      </c>
    </row>
    <row r="17" customFormat="false" ht="15" hidden="false" customHeight="false" outlineLevel="0" collapsed="false">
      <c r="A17" s="19" t="n">
        <v>10</v>
      </c>
      <c r="B17" s="28" t="n">
        <f aca="false">$C$4+7*(A17-1)</f>
        <v>46349</v>
      </c>
      <c r="C17" s="28" t="n">
        <f aca="false">B17+6</f>
        <v>46355</v>
      </c>
      <c r="D17" s="21" t="s">
        <v>204</v>
      </c>
      <c r="E17" s="19" t="n">
        <f aca="false">COUNTIF(Tarefas!$J:$J,A17)</f>
        <v>1</v>
      </c>
      <c r="F17" s="29" t="n">
        <f aca="false">SUMIF(Tarefas!$J:$J,A17,Tarefas!$H:$H)</f>
        <v>0</v>
      </c>
      <c r="G17" s="19" t="n">
        <f aca="false">COUNTIFS(Tarefas!$J:$J,A17,Tarefas!$F:$F,"Concluído")</f>
        <v>0</v>
      </c>
      <c r="H17" s="19" t="str">
        <f aca="true">IF(E17=0,"—",IF(G17=E17,"Fechada",IF(TODAY()&gt;C17,"Atrasada",IF(TODAY()&gt;=B17,"Em curso","Por vir"))))</f>
        <v>Por vir</v>
      </c>
    </row>
    <row r="18" customFormat="false" ht="15" hidden="false" customHeight="false" outlineLevel="0" collapsed="false">
      <c r="A18" s="30" t="s">
        <v>205</v>
      </c>
      <c r="B18" s="31"/>
      <c r="C18" s="31"/>
      <c r="D18" s="31"/>
      <c r="E18" s="30" t="n">
        <f aca="false">SUM(E8:E17)</f>
        <v>30</v>
      </c>
      <c r="F18" s="32" t="n">
        <f aca="false">SUM(F8:F17)</f>
        <v>58.85</v>
      </c>
      <c r="G18" s="30" t="n">
        <f aca="false">SUM(G8:G17)</f>
        <v>4</v>
      </c>
      <c r="H18" s="31"/>
    </row>
  </sheetData>
  <conditionalFormatting sqref="H8:H17">
    <cfRule type="expression" priority="2" aboveAverage="0" equalAverage="0" bottom="0" percent="0" rank="0" text="" dxfId="18">
      <formula>H8="Atrasada"</formula>
    </cfRule>
    <cfRule type="expression" priority="3" aboveAverage="0" equalAverage="0" bottom="0" percent="0" rank="0" text="" dxfId="20">
      <formula>H8="Em curso"</formula>
    </cfRule>
    <cfRule type="expression" priority="4" aboveAverage="0" equalAverage="0" bottom="0" percent="0" rank="0" text="" dxfId="16">
      <formula>H8="Fechada"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B76A"/>
    <pageSetUpPr fitToPage="tru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2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5" t="s">
        <v>206</v>
      </c>
    </row>
    <row r="2" customFormat="false" ht="15" hidden="false" customHeight="false" outlineLevel="0" collapsed="false">
      <c r="A2" s="2" t="s">
        <v>207</v>
      </c>
    </row>
    <row r="4" customFormat="false" ht="30" hidden="false" customHeight="true" outlineLevel="0" collapsed="false">
      <c r="A4" s="17" t="s">
        <v>208</v>
      </c>
      <c r="B4" s="17" t="s">
        <v>4</v>
      </c>
      <c r="C4" s="17" t="s">
        <v>209</v>
      </c>
      <c r="D4" s="17" t="s">
        <v>210</v>
      </c>
    </row>
    <row r="5" customFormat="false" ht="18" hidden="false" customHeight="true" outlineLevel="0" collapsed="false">
      <c r="A5" s="33" t="n">
        <v>46263</v>
      </c>
      <c r="B5" s="21" t="s">
        <v>211</v>
      </c>
      <c r="C5" s="19" t="s">
        <v>212</v>
      </c>
      <c r="D5" s="21" t="s">
        <v>213</v>
      </c>
    </row>
    <row r="6" customFormat="false" ht="18" hidden="false" customHeight="true" outlineLevel="0" collapsed="false">
      <c r="A6" s="33" t="n">
        <v>46263</v>
      </c>
      <c r="B6" s="21" t="s">
        <v>214</v>
      </c>
      <c r="C6" s="19" t="s">
        <v>212</v>
      </c>
      <c r="D6" s="21" t="s">
        <v>215</v>
      </c>
    </row>
    <row r="7" customFormat="false" ht="31.5" hidden="false" customHeight="true" outlineLevel="0" collapsed="false">
      <c r="A7" s="33" t="n">
        <v>46263</v>
      </c>
      <c r="B7" s="21" t="s">
        <v>216</v>
      </c>
      <c r="C7" s="19" t="s">
        <v>217</v>
      </c>
      <c r="D7" s="21" t="s">
        <v>218</v>
      </c>
    </row>
    <row r="8" customFormat="false" ht="18" hidden="false" customHeight="true" outlineLevel="0" collapsed="false">
      <c r="A8" s="33" t="n">
        <v>46263</v>
      </c>
      <c r="B8" s="21" t="s">
        <v>219</v>
      </c>
      <c r="C8" s="19" t="s">
        <v>220</v>
      </c>
      <c r="D8" s="21" t="s">
        <v>221</v>
      </c>
    </row>
    <row r="9" customFormat="false" ht="18" hidden="false" customHeight="true" outlineLevel="0" collapsed="false">
      <c r="A9" s="33" t="n">
        <v>46276</v>
      </c>
      <c r="B9" s="21" t="s">
        <v>222</v>
      </c>
      <c r="C9" s="19" t="s">
        <v>223</v>
      </c>
      <c r="D9" s="21" t="s">
        <v>224</v>
      </c>
    </row>
    <row r="10" customFormat="false" ht="18" hidden="false" customHeight="true" outlineLevel="0" collapsed="false">
      <c r="A10" s="33" t="n">
        <v>46276</v>
      </c>
      <c r="B10" s="21" t="s">
        <v>225</v>
      </c>
      <c r="C10" s="19" t="s">
        <v>223</v>
      </c>
      <c r="D10" s="21" t="s">
        <v>226</v>
      </c>
    </row>
    <row r="11" customFormat="false" ht="18" hidden="false" customHeight="true" outlineLevel="0" collapsed="false">
      <c r="A11" s="33" t="n">
        <v>46276</v>
      </c>
      <c r="B11" s="21" t="s">
        <v>227</v>
      </c>
      <c r="C11" s="19" t="s">
        <v>220</v>
      </c>
      <c r="D11" s="21" t="s">
        <v>228</v>
      </c>
    </row>
    <row r="12" customFormat="false" ht="18" hidden="false" customHeight="true" outlineLevel="0" collapsed="false">
      <c r="A12" s="33" t="n">
        <v>46276</v>
      </c>
      <c r="B12" s="21" t="s">
        <v>229</v>
      </c>
      <c r="C12" s="19" t="s">
        <v>230</v>
      </c>
      <c r="D12" s="21" t="s">
        <v>231</v>
      </c>
    </row>
    <row r="13" customFormat="false" ht="18" hidden="false" customHeight="true" outlineLevel="0" collapsed="false">
      <c r="A13" s="33" t="n">
        <v>46284</v>
      </c>
      <c r="B13" s="21" t="s">
        <v>232</v>
      </c>
      <c r="C13" s="19" t="s">
        <v>233</v>
      </c>
      <c r="D13" s="21" t="s">
        <v>234</v>
      </c>
    </row>
    <row r="14" customFormat="false" ht="18" hidden="false" customHeight="true" outlineLevel="0" collapsed="false">
      <c r="A14" s="33" t="n">
        <v>46284</v>
      </c>
      <c r="B14" s="21" t="s">
        <v>235</v>
      </c>
      <c r="C14" s="19" t="s">
        <v>212</v>
      </c>
      <c r="D14" s="21" t="s">
        <v>218</v>
      </c>
    </row>
    <row r="15" customFormat="false" ht="31.5" hidden="false" customHeight="true" outlineLevel="0" collapsed="false">
      <c r="A15" s="33" t="n">
        <v>46284</v>
      </c>
      <c r="B15" s="21" t="s">
        <v>236</v>
      </c>
      <c r="C15" s="19" t="s">
        <v>237</v>
      </c>
      <c r="D15" s="21" t="s">
        <v>238</v>
      </c>
    </row>
    <row r="16" customFormat="false" ht="31.5" hidden="false" customHeight="true" outlineLevel="0" collapsed="false">
      <c r="A16" s="33" t="n">
        <v>46284</v>
      </c>
      <c r="B16" s="21" t="s">
        <v>239</v>
      </c>
      <c r="C16" s="19" t="s">
        <v>104</v>
      </c>
      <c r="D16" s="21" t="s">
        <v>240</v>
      </c>
    </row>
    <row r="17" customFormat="false" ht="18" hidden="false" customHeight="true" outlineLevel="0" collapsed="false">
      <c r="A17" s="33" t="n">
        <v>46284</v>
      </c>
      <c r="B17" s="21" t="s">
        <v>241</v>
      </c>
      <c r="C17" s="19" t="s">
        <v>230</v>
      </c>
      <c r="D17" s="21" t="s">
        <v>242</v>
      </c>
    </row>
    <row r="18" customFormat="false" ht="18" hidden="false" customHeight="true" outlineLevel="0" collapsed="false">
      <c r="A18" s="33" t="n">
        <v>46284</v>
      </c>
      <c r="B18" s="21" t="s">
        <v>243</v>
      </c>
      <c r="C18" s="19" t="s">
        <v>244</v>
      </c>
      <c r="D18" s="21" t="s">
        <v>245</v>
      </c>
    </row>
    <row r="19" customFormat="false" ht="18" hidden="false" customHeight="true" outlineLevel="0" collapsed="false">
      <c r="A19" s="33" t="n">
        <v>46284</v>
      </c>
      <c r="B19" s="21" t="s">
        <v>246</v>
      </c>
      <c r="C19" s="19" t="s">
        <v>247</v>
      </c>
      <c r="D19" s="34" t="s">
        <v>248</v>
      </c>
    </row>
    <row r="20" customFormat="false" ht="18" hidden="false" customHeight="true" outlineLevel="0" collapsed="false">
      <c r="A20" s="33" t="n">
        <v>46284</v>
      </c>
      <c r="B20" s="21" t="s">
        <v>249</v>
      </c>
      <c r="C20" s="19" t="s">
        <v>91</v>
      </c>
      <c r="D20" s="34" t="s">
        <v>250</v>
      </c>
    </row>
    <row r="21" customFormat="false" ht="18" hidden="false" customHeight="true" outlineLevel="0" collapsed="false">
      <c r="A21" s="33" t="n">
        <v>46284</v>
      </c>
      <c r="B21" s="21" t="s">
        <v>251</v>
      </c>
      <c r="C21" s="19" t="s">
        <v>104</v>
      </c>
      <c r="D21" s="21" t="s">
        <v>252</v>
      </c>
    </row>
    <row r="22" customFormat="false" ht="31.5" hidden="false" customHeight="true" outlineLevel="0" collapsed="false">
      <c r="A22" s="33" t="n">
        <v>46285</v>
      </c>
      <c r="B22" s="21" t="s">
        <v>253</v>
      </c>
      <c r="C22" s="19" t="s">
        <v>233</v>
      </c>
      <c r="D22" s="21" t="s">
        <v>254</v>
      </c>
    </row>
    <row r="23" customFormat="false" ht="31.5" hidden="false" customHeight="true" outlineLevel="0" collapsed="false">
      <c r="A23" s="33" t="n">
        <v>46286</v>
      </c>
      <c r="B23" s="21" t="s">
        <v>255</v>
      </c>
      <c r="C23" s="19" t="s">
        <v>256</v>
      </c>
      <c r="D23" s="21" t="s">
        <v>257</v>
      </c>
    </row>
    <row r="24" customFormat="false" ht="31.5" hidden="false" customHeight="true" outlineLevel="0" collapsed="false">
      <c r="A24" s="33" t="n">
        <v>46286</v>
      </c>
      <c r="B24" s="21" t="s">
        <v>258</v>
      </c>
      <c r="C24" s="19" t="s">
        <v>256</v>
      </c>
      <c r="D24" s="21" t="s">
        <v>259</v>
      </c>
    </row>
    <row r="25" customFormat="false" ht="31.5" hidden="false" customHeight="true" outlineLevel="0" collapsed="false">
      <c r="A25" s="33" t="n">
        <v>46286</v>
      </c>
      <c r="B25" s="21" t="s">
        <v>260</v>
      </c>
      <c r="C25" s="19" t="s">
        <v>230</v>
      </c>
      <c r="D25" s="21" t="s">
        <v>261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2026-09-21T03:02:29Z</dcterms:created>
  <dc:creator>openpyxl</dc:creator>
  <dc:description/>
  <dc:language>en-US</dc:language>
  <cp:lastModifiedBy/>
  <dcterms:modified xsi:type="dcterms:W3CDTF">2026-09-21T03:02:29Z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